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PE-Measurments\"/>
    </mc:Choice>
  </mc:AlternateContent>
  <xr:revisionPtr revIDLastSave="0" documentId="13_ncr:1_{223CBA44-1229-4B7A-AFB3-828DFFA645CB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H28" i="1"/>
  <c r="H24" i="1"/>
  <c r="H21" i="1"/>
  <c r="H29" i="1"/>
  <c r="H30" i="1"/>
  <c r="H15" i="1"/>
  <c r="H16" i="1"/>
  <c r="H17" i="1"/>
  <c r="H22" i="1"/>
  <c r="H23" i="1"/>
  <c r="H14" i="1"/>
  <c r="E21" i="1"/>
  <c r="E14" i="1"/>
  <c r="F14" i="1"/>
  <c r="G14" i="1"/>
  <c r="BA47" i="1"/>
  <c r="BB47" i="1" s="1"/>
  <c r="BA48" i="1"/>
  <c r="BB48" i="1" s="1"/>
  <c r="BA49" i="1"/>
  <c r="BB49" i="1" s="1"/>
  <c r="BA50" i="1"/>
  <c r="BB50" i="1" s="1"/>
  <c r="BA32" i="1"/>
  <c r="BB32" i="1" s="1"/>
  <c r="BA33" i="1"/>
  <c r="BB33" i="1" s="1"/>
  <c r="BA34" i="1"/>
  <c r="BB34" i="1" s="1"/>
  <c r="BA39" i="1"/>
  <c r="BB39" i="1" s="1"/>
  <c r="BA40" i="1"/>
  <c r="BB40" i="1" s="1"/>
  <c r="BA41" i="1"/>
  <c r="BB41" i="1" s="1"/>
  <c r="BA42" i="1"/>
  <c r="BB42" i="1" s="1"/>
  <c r="BA31" i="1"/>
  <c r="BB31" i="1" s="1"/>
  <c r="E15" i="1"/>
  <c r="E16" i="1"/>
  <c r="E17" i="1"/>
  <c r="E22" i="1"/>
  <c r="E23" i="1"/>
  <c r="E24" i="1"/>
  <c r="E28" i="1"/>
  <c r="F28" i="1" s="1"/>
  <c r="G28" i="1" s="1"/>
  <c r="E29" i="1"/>
  <c r="F29" i="1" s="1"/>
  <c r="G29" i="1" s="1"/>
  <c r="E30" i="1"/>
  <c r="F30" i="1" s="1"/>
  <c r="G30" i="1" s="1"/>
  <c r="E31" i="1"/>
  <c r="F31" i="1" s="1"/>
  <c r="G31" i="1" s="1"/>
  <c r="H32" i="1"/>
  <c r="F15" i="1" l="1"/>
  <c r="G15" i="1" s="1"/>
  <c r="N15" i="1"/>
  <c r="O15" i="1" s="1"/>
  <c r="P15" i="1" s="1"/>
  <c r="Q15" i="1" s="1"/>
  <c r="R15" i="1" s="1"/>
  <c r="J15" i="1"/>
  <c r="L15" i="1"/>
  <c r="F16" i="1"/>
  <c r="G16" i="1" s="1"/>
  <c r="N16" i="1"/>
  <c r="O16" i="1" s="1"/>
  <c r="P16" i="1" s="1"/>
  <c r="Q16" i="1" s="1"/>
  <c r="R16" i="1" s="1"/>
  <c r="L16" i="1"/>
  <c r="J16" i="1"/>
  <c r="F17" i="1"/>
  <c r="G17" i="1" s="1"/>
  <c r="N17" i="1"/>
  <c r="O17" i="1" s="1"/>
  <c r="P17" i="1" s="1"/>
  <c r="Q17" i="1" s="1"/>
  <c r="R17" i="1" s="1"/>
  <c r="J17" i="1"/>
  <c r="L17" i="1"/>
  <c r="F21" i="1"/>
  <c r="G21" i="1" s="1"/>
  <c r="L21" i="1"/>
  <c r="J21" i="1"/>
  <c r="N21" i="1"/>
  <c r="O21" i="1" s="1"/>
  <c r="P21" i="1" s="1"/>
  <c r="Q21" i="1" s="1"/>
  <c r="R21" i="1" s="1"/>
  <c r="F22" i="1"/>
  <c r="G22" i="1" s="1"/>
  <c r="J22" i="1"/>
  <c r="L22" i="1"/>
  <c r="N22" i="1"/>
  <c r="O22" i="1" s="1"/>
  <c r="P22" i="1" s="1"/>
  <c r="Q22" i="1" s="1"/>
  <c r="R22" i="1" s="1"/>
  <c r="F23" i="1"/>
  <c r="G23" i="1" s="1"/>
  <c r="J23" i="1"/>
  <c r="N23" i="1"/>
  <c r="O23" i="1" s="1"/>
  <c r="P23" i="1" s="1"/>
  <c r="Q23" i="1" s="1"/>
  <c r="R23" i="1" s="1"/>
  <c r="L23" i="1"/>
  <c r="F24" i="1"/>
  <c r="G24" i="1" s="1"/>
  <c r="J24" i="1"/>
  <c r="L24" i="1"/>
  <c r="N24" i="1"/>
  <c r="O24" i="1" s="1"/>
  <c r="P24" i="1" s="1"/>
  <c r="Q24" i="1" s="1"/>
  <c r="R24" i="1" s="1"/>
  <c r="L28" i="1"/>
  <c r="N28" i="1"/>
  <c r="O28" i="1" s="1"/>
  <c r="P28" i="1" s="1"/>
  <c r="Q28" i="1" s="1"/>
  <c r="R28" i="1" s="1"/>
  <c r="J28" i="1"/>
  <c r="N29" i="1"/>
  <c r="O29" i="1" s="1"/>
  <c r="P29" i="1" s="1"/>
  <c r="Q29" i="1" s="1"/>
  <c r="R29" i="1" s="1"/>
  <c r="L29" i="1"/>
  <c r="J29" i="1"/>
  <c r="L30" i="1"/>
  <c r="N30" i="1"/>
  <c r="O30" i="1" s="1"/>
  <c r="P30" i="1" s="1"/>
  <c r="Q30" i="1" s="1"/>
  <c r="R30" i="1" s="1"/>
  <c r="J30" i="1"/>
  <c r="K31" i="1"/>
  <c r="N31" i="1"/>
  <c r="O31" i="1" s="1"/>
  <c r="P31" i="1" s="1"/>
  <c r="Q31" i="1" s="1"/>
  <c r="R31" i="1" s="1"/>
  <c r="L31" i="1"/>
  <c r="J31" i="1"/>
  <c r="L14" i="1"/>
  <c r="N14" i="1"/>
  <c r="O14" i="1" s="1"/>
  <c r="P14" i="1" s="1"/>
  <c r="Q14" i="1" s="1"/>
  <c r="R14" i="1" s="1"/>
  <c r="J14" i="1"/>
  <c r="M15" i="1" l="1"/>
  <c r="K15" i="1"/>
  <c r="M17" i="1"/>
  <c r="K17" i="1"/>
  <c r="M29" i="1"/>
  <c r="K29" i="1"/>
  <c r="M16" i="1"/>
  <c r="K16" i="1"/>
  <c r="M21" i="1"/>
  <c r="K21" i="1"/>
  <c r="M22" i="1"/>
  <c r="K22" i="1"/>
  <c r="M23" i="1"/>
  <c r="K23" i="1"/>
  <c r="M24" i="1"/>
  <c r="K24" i="1"/>
  <c r="M30" i="1"/>
  <c r="K30" i="1"/>
  <c r="M28" i="1"/>
  <c r="K28" i="1"/>
  <c r="M31" i="1"/>
  <c r="K14" i="1"/>
  <c r="I15" i="1"/>
  <c r="I16" i="1"/>
  <c r="I17" i="1"/>
  <c r="I21" i="1"/>
  <c r="I22" i="1"/>
  <c r="I23" i="1"/>
  <c r="I24" i="1"/>
  <c r="I28" i="1"/>
  <c r="I29" i="1"/>
  <c r="I30" i="1"/>
  <c r="I31" i="1"/>
  <c r="I14" i="1"/>
  <c r="M14" i="1"/>
</calcChain>
</file>

<file path=xl/sharedStrings.xml><?xml version="1.0" encoding="utf-8"?>
<sst xmlns="http://schemas.openxmlformats.org/spreadsheetml/2006/main" count="83" uniqueCount="32">
  <si>
    <t>5mg</t>
  </si>
  <si>
    <t>10mg</t>
  </si>
  <si>
    <t>15mg</t>
  </si>
  <si>
    <t>20mg</t>
  </si>
  <si>
    <t>Absorbance</t>
  </si>
  <si>
    <t>initial concentration</t>
  </si>
  <si>
    <t>final concentration</t>
  </si>
  <si>
    <t>adsorbed</t>
  </si>
  <si>
    <t>% adsorption</t>
  </si>
  <si>
    <t>conc. Mg/L</t>
  </si>
  <si>
    <t>Ana.conc</t>
  </si>
  <si>
    <t>GO-MCC90</t>
  </si>
  <si>
    <t>logqe</t>
  </si>
  <si>
    <t>qe</t>
  </si>
  <si>
    <t>lnqe</t>
  </si>
  <si>
    <t>ε=RTln[1+1/Ce]ε</t>
  </si>
  <si>
    <t>ε2</t>
  </si>
  <si>
    <t>mg g-1</t>
  </si>
  <si>
    <t>Initial concentration</t>
  </si>
  <si>
    <t>RL</t>
  </si>
  <si>
    <t>KL</t>
  </si>
  <si>
    <t>GO-CS</t>
  </si>
  <si>
    <t>GO-MCC-50</t>
  </si>
  <si>
    <t>CS</t>
  </si>
  <si>
    <t>Ce/qe</t>
  </si>
  <si>
    <t>logCe</t>
  </si>
  <si>
    <t>lnCe</t>
  </si>
  <si>
    <t>1/Ce</t>
  </si>
  <si>
    <t>1+1/Ce</t>
  </si>
  <si>
    <t>ln(1+1/Ce)</t>
  </si>
  <si>
    <t>GO-MCC-50µm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</si>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</sst>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5.0799999999999998E-2</c:v>
                </c:pt>
                <c:pt idx="1">
                  <c:v>5.3699999999999998E-2</c:v>
                </c:pt>
                <c:pt idx="2">
                  <c:v>6.2399999999999997E-2</c:v>
                </c:pt>
                <c:pt idx="3">
                  <c:v>7.7640000000000001E-2</c:v>
                </c:pt>
                <c:pt idx="4">
                  <c:v>0.10376000000000001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08824490670109"/>
          <c:y val="9.4940238201342564E-2"/>
          <c:w val="0.8011067178650586"/>
          <c:h val="0.6842289314303748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Sheet1!$J$34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279411744436229E-3"/>
                  <c:y val="0.2728113279028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Sheet1!$I$35:$I$38</c:f>
              <c:numCache>
                <c:formatCode>General</c:formatCode>
                <c:ptCount val="4"/>
                <c:pt idx="0">
                  <c:v>1.1071428571428565</c:v>
                </c:pt>
                <c:pt idx="1">
                  <c:v>2.721428571428572</c:v>
                </c:pt>
                <c:pt idx="2">
                  <c:v>4.1928571428571431</c:v>
                </c:pt>
                <c:pt idx="3">
                  <c:v>5.889285714285716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0.28440366972477044</c:v>
                </c:pt>
                <c:pt idx="1">
                  <c:v>0.37389597644749767</c:v>
                </c:pt>
                <c:pt idx="2">
                  <c:v>0.38797091870456052</c:v>
                </c:pt>
                <c:pt idx="3">
                  <c:v>0.41736269298911688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A-4FA6-9B53-8A62648AD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50607"/>
        <c:axId val="393851087"/>
      </c:scatterChart>
      <c:valAx>
        <c:axId val="39385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1087"/>
        <c:crosses val="autoZero"/>
        <c:crossBetween val="midCat"/>
      </c:valAx>
      <c:valAx>
        <c:axId val="3938510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0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Sheet1!$Q$34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999259793243713E-2"/>
                  <c:y val="-0.25475143111094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Sheet1!$P$35:$P$38</c:f>
              <c:numCache>
                <c:formatCode>General</c:formatCode>
                <c:ptCount val="4"/>
                <c:pt idx="0">
                  <c:v>2542245.4628676344</c:v>
                </c:pt>
                <c:pt idx="1">
                  <c:v>601179.73200141266</c:v>
                </c:pt>
                <c:pt idx="2">
                  <c:v>280854.16522749298</c:v>
                </c:pt>
                <c:pt idx="3">
                  <c:v>150982.20146862246</c:v>
                </c:pt>
              </c:numCache>
            </c:numRef>
          </c:xVal>
          <c:yVal>
            <c:numRef>
              <c:f>Sheet1!$Q$35:$Q$38</c:f>
              <c:numCache>
                <c:formatCode>General</c:formatCode>
                <c:ptCount val="4"/>
                <c:pt idx="0">
                  <c:v>1.3591433720539399</c:v>
                </c:pt>
                <c:pt idx="1">
                  <c:v>1.9849346106134205</c:v>
                </c:pt>
                <c:pt idx="2">
                  <c:v>2.3802072911790515</c:v>
                </c:pt>
                <c:pt idx="3">
                  <c:v>2.6469343872421409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2-4680-9CC9-6CCAB50B8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842447"/>
        <c:axId val="393852527"/>
      </c:scatterChart>
      <c:valAx>
        <c:axId val="39384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52527"/>
        <c:crosses val="autoZero"/>
        <c:crossBetween val="midCat"/>
      </c:valAx>
      <c:valAx>
        <c:axId val="393852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4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Sheet1!$N$34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028408244054541"/>
                  <c:y val="-6.18915641567742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Sheet1!$M$35:$M$38</c:f>
              <c:numCache>
                <c:formatCode>General</c:formatCode>
                <c:ptCount val="4"/>
                <c:pt idx="0">
                  <c:v>0.10178269430994177</c:v>
                </c:pt>
                <c:pt idx="1">
                  <c:v>1.0011569525173969</c:v>
                </c:pt>
                <c:pt idx="2">
                  <c:v>1.4333823972187922</c:v>
                </c:pt>
                <c:pt idx="3">
                  <c:v>1.7731347193903495</c:v>
                </c:pt>
              </c:numCache>
            </c:numRef>
          </c:xVal>
          <c:yVal>
            <c:numRef>
              <c:f>Sheet1!$N$35:$N$38</c:f>
              <c:numCache>
                <c:formatCode>General</c:formatCode>
                <c:ptCount val="4"/>
                <c:pt idx="0">
                  <c:v>3.8928571428571432</c:v>
                </c:pt>
                <c:pt idx="1">
                  <c:v>7.2785714285714276</c:v>
                </c:pt>
                <c:pt idx="2">
                  <c:v>10.807142857142857</c:v>
                </c:pt>
                <c:pt idx="3">
                  <c:v>14.110714285714284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25-4ADB-8A13-04EAD973C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94863"/>
        <c:axId val="513094383"/>
      </c:scatterChart>
      <c:valAx>
        <c:axId val="51309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4383"/>
        <c:crosses val="autoZero"/>
        <c:crossBetween val="midCat"/>
      </c:valAx>
      <c:valAx>
        <c:axId val="513094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85663757213025"/>
          <c:y val="0.16692364418813235"/>
          <c:w val="0.77570039471967134"/>
          <c:h val="0.589156907013590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Sheet1!$G$41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039523141224954"/>
                  <c:y val="-6.47810608612149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Sheet1!$F$42:$F$45</c:f>
              <c:numCache>
                <c:formatCode>General</c:formatCode>
                <c:ptCount val="4"/>
                <c:pt idx="0">
                  <c:v>0.11034917056343896</c:v>
                </c:pt>
                <c:pt idx="1">
                  <c:v>0.51188336097887455</c:v>
                </c:pt>
                <c:pt idx="2">
                  <c:v>0.7168972605512326</c:v>
                </c:pt>
                <c:pt idx="3">
                  <c:v>0.86565379486986871</c:v>
                </c:pt>
              </c:numCache>
            </c:numRef>
          </c:xVal>
          <c:yVal>
            <c:numRef>
              <c:f>Sheet1!$G$42:$G$45</c:f>
              <c:numCache>
                <c:formatCode>General</c:formatCode>
                <c:ptCount val="4"/>
                <c:pt idx="0">
                  <c:v>0.5694575162149581</c:v>
                </c:pt>
                <c:pt idx="1">
                  <c:v>0.82930377283102485</c:v>
                </c:pt>
                <c:pt idx="2">
                  <c:v>0.99075100419727902</c:v>
                </c:pt>
                <c:pt idx="3">
                  <c:v>1.1024582081768661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9D-4029-B532-4849E0997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89103"/>
        <c:axId val="513097743"/>
      </c:scatterChart>
      <c:valAx>
        <c:axId val="51308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97743"/>
        <c:crosses val="autoZero"/>
        <c:crossBetween val="midCat"/>
      </c:valAx>
      <c:valAx>
        <c:axId val="513097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8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67517671136034"/>
          <c:y val="9.4019925561389647E-2"/>
          <c:w val="0.76763436783279582"/>
          <c:h val="0.6972402930904609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Sheet1!$J$41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34053750244439"/>
                  <c:y val="0.274928372865830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Sheet1!$I$42:$I$45</c:f>
              <c:numCache>
                <c:formatCode>General</c:formatCode>
                <c:ptCount val="4"/>
                <c:pt idx="0">
                  <c:v>1.289285714285715</c:v>
                </c:pt>
                <c:pt idx="1">
                  <c:v>3.2500000000000013</c:v>
                </c:pt>
                <c:pt idx="2">
                  <c:v>5.2107142857142881</c:v>
                </c:pt>
                <c:pt idx="3">
                  <c:v>7.3392857142857135</c:v>
                </c:pt>
              </c:numCache>
            </c:numRef>
          </c:xVal>
          <c:yVal>
            <c:numRef>
              <c:f>Sheet1!$J$42:$J$45</c:f>
              <c:numCache>
                <c:formatCode>General</c:formatCode>
                <c:ptCount val="4"/>
                <c:pt idx="0">
                  <c:v>0.34744947064485115</c:v>
                </c:pt>
                <c:pt idx="1">
                  <c:v>0.48148148148148179</c:v>
                </c:pt>
                <c:pt idx="2">
                  <c:v>0.53228748631886214</c:v>
                </c:pt>
                <c:pt idx="3">
                  <c:v>0.57968970380818041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9-4D0F-AED9-780A8DDC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70383"/>
        <c:axId val="513071343"/>
      </c:scatterChart>
      <c:valAx>
        <c:axId val="51307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1343"/>
        <c:crosses val="autoZero"/>
        <c:crossBetween val="midCat"/>
      </c:valAx>
      <c:valAx>
        <c:axId val="513071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06230133291783"/>
          <c:y val="4.4880554115817747E-2"/>
          <c:w val="0.81365333037355991"/>
          <c:h val="0.7237187642337715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Sheet1!$N$41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475718592902853"/>
                  <c:y val="2.54268168182317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Sheet1!$M$42:$M$45</c:f>
              <c:numCache>
                <c:formatCode>General</c:formatCode>
                <c:ptCount val="4"/>
                <c:pt idx="0">
                  <c:v>0.25408835516363187</c:v>
                </c:pt>
                <c:pt idx="1">
                  <c:v>1.1786549963416466</c:v>
                </c:pt>
                <c:pt idx="2">
                  <c:v>1.6507169453535364</c:v>
                </c:pt>
                <c:pt idx="3">
                  <c:v>1.9932415237610852</c:v>
                </c:pt>
              </c:numCache>
            </c:numRef>
          </c:xVal>
          <c:yVal>
            <c:numRef>
              <c:f>Sheet1!$N$42:$N$45</c:f>
              <c:numCache>
                <c:formatCode>General</c:formatCode>
                <c:ptCount val="4"/>
                <c:pt idx="0">
                  <c:v>3.7107142857142845</c:v>
                </c:pt>
                <c:pt idx="1">
                  <c:v>6.7499999999999982</c:v>
                </c:pt>
                <c:pt idx="2">
                  <c:v>9.789285714285711</c:v>
                </c:pt>
                <c:pt idx="3">
                  <c:v>12.660714285714286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BC-4AB5-8BFC-54FD891F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111183"/>
        <c:axId val="513115023"/>
      </c:scatterChart>
      <c:valAx>
        <c:axId val="51311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5023"/>
        <c:crosses val="autoZero"/>
        <c:crossBetween val="midCat"/>
      </c:valAx>
      <c:valAx>
        <c:axId val="513115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Sheet1!$Q$41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5686231543049551E-2"/>
                  <c:y val="-0.32816984080399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Sheet1!$P$42:$P$45</c:f>
              <c:numCache>
                <c:formatCode>General</c:formatCode>
                <c:ptCount val="4"/>
                <c:pt idx="0">
                  <c:v>2023511.0200980799</c:v>
                </c:pt>
                <c:pt idx="1">
                  <c:v>441750.77179289394</c:v>
                </c:pt>
                <c:pt idx="2">
                  <c:v>189190.18254272797</c:v>
                </c:pt>
                <c:pt idx="3">
                  <c:v>100156.58003661757</c:v>
                </c:pt>
              </c:numCache>
            </c:numRef>
          </c:xVal>
          <c:yVal>
            <c:numRef>
              <c:f>Sheet1!$Q$42:$Q$45</c:f>
              <c:numCache>
                <c:formatCode>General</c:formatCode>
                <c:ptCount val="4"/>
                <c:pt idx="0">
                  <c:v>1.3112243879299774</c:v>
                </c:pt>
                <c:pt idx="1">
                  <c:v>1.9095425048844381</c:v>
                </c:pt>
                <c:pt idx="2">
                  <c:v>2.2812884931335358</c:v>
                </c:pt>
                <c:pt idx="3">
                  <c:v>2.5385038357969782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1-493E-A710-807DEE2F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993103"/>
        <c:axId val="513005103"/>
      </c:scatterChart>
      <c:valAx>
        <c:axId val="512993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05103"/>
        <c:crosses val="autoZero"/>
        <c:crossBetween val="midCat"/>
      </c:valAx>
      <c:valAx>
        <c:axId val="5130051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Sheet1!$G$48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298114916279957"/>
                  <c:y val="2.32252119644647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Sheet1!$F$49:$F$52</c:f>
              <c:numCache>
                <c:formatCode>General</c:formatCode>
                <c:ptCount val="4"/>
                <c:pt idx="0">
                  <c:v>0.1729780236315383</c:v>
                </c:pt>
                <c:pt idx="1">
                  <c:v>0.52965030599584717</c:v>
                </c:pt>
                <c:pt idx="2">
                  <c:v>0.71180722904119109</c:v>
                </c:pt>
                <c:pt idx="3">
                  <c:v>0.84708768479589891</c:v>
                </c:pt>
              </c:numCache>
            </c:numRef>
          </c:xVal>
          <c:yVal>
            <c:numRef>
              <c:f>Sheet1!$G$49:$G$52</c:f>
              <c:numCache>
                <c:formatCode>General</c:formatCode>
                <c:ptCount val="4"/>
                <c:pt idx="0">
                  <c:v>0.54539548648991631</c:v>
                </c:pt>
                <c:pt idx="1">
                  <c:v>0.82048295100369628</c:v>
                </c:pt>
                <c:pt idx="2">
                  <c:v>0.99343623049761165</c:v>
                </c:pt>
                <c:pt idx="3">
                  <c:v>1.1128682175706732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1-4EE2-B1D5-045832079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990223"/>
        <c:axId val="512994063"/>
      </c:scatterChart>
      <c:valAx>
        <c:axId val="51299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logCe</a:t>
                </a:r>
              </a:p>
            </c:rich>
          </c:tx>
          <c:layout>
            <c:manualLayout>
              <c:xMode val="edge"/>
              <c:yMode val="edge"/>
              <c:x val="0.49736227349270123"/>
              <c:y val="0.881439599198551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4063"/>
        <c:crosses val="autoZero"/>
        <c:crossBetween val="midCat"/>
      </c:valAx>
      <c:valAx>
        <c:axId val="512994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0232861404995"/>
          <c:y val="9.2115872060678658E-2"/>
          <c:w val="0.82188729541206651"/>
          <c:h val="0.6939614085489559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Sheet1!$J$48</c:f>
              <c:strCache>
                <c:ptCount val="1"/>
                <c:pt idx="0">
                  <c:v>Ce/qe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625540042054906"/>
                  <c:y val="0.271570423401825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Sheet1!$I$49:$I$52</c:f>
              <c:numCache>
                <c:formatCode>General</c:formatCode>
                <c:ptCount val="4"/>
                <c:pt idx="0">
                  <c:v>1.4892857142857143</c:v>
                </c:pt>
                <c:pt idx="1">
                  <c:v>3.3857142857142866</c:v>
                </c:pt>
                <c:pt idx="2">
                  <c:v>5.1500000000000012</c:v>
                </c:pt>
                <c:pt idx="3">
                  <c:v>7.0321428571428566</c:v>
                </c:pt>
              </c:numCache>
            </c:numRef>
          </c:xVal>
          <c:yVal>
            <c:numRef>
              <c:f>Sheet1!$J$49:$J$52</c:f>
              <c:numCache>
                <c:formatCode>General</c:formatCode>
                <c:ptCount val="4"/>
                <c:pt idx="0">
                  <c:v>0.42421159715157686</c:v>
                </c:pt>
                <c:pt idx="1">
                  <c:v>0.51187904967602604</c:v>
                </c:pt>
                <c:pt idx="2">
                  <c:v>0.52284263959390886</c:v>
                </c:pt>
                <c:pt idx="3">
                  <c:v>0.54227485541173215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B-4899-AB10-428170215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63183"/>
        <c:axId val="513051183"/>
      </c:scatterChart>
      <c:valAx>
        <c:axId val="51306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51183"/>
        <c:crosses val="autoZero"/>
        <c:crossBetween val="midCat"/>
      </c:valAx>
      <c:valAx>
        <c:axId val="51305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Ce/qe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6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Sheet1!$N$48</c:f>
              <c:strCache>
                <c:ptCount val="1"/>
                <c:pt idx="0">
                  <c:v>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523226505619963"/>
                  <c:y val="-6.47663579437675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Sheet1!$M$49:$M$52</c:f>
              <c:numCache>
                <c:formatCode>General</c:formatCode>
                <c:ptCount val="4"/>
                <c:pt idx="0">
                  <c:v>0.39829661862955185</c:v>
                </c:pt>
                <c:pt idx="1">
                  <c:v>1.2195648990857724</c:v>
                </c:pt>
                <c:pt idx="2">
                  <c:v>1.638996714675645</c:v>
                </c:pt>
                <c:pt idx="3">
                  <c:v>1.9504914754698759</c:v>
                </c:pt>
              </c:numCache>
            </c:numRef>
          </c:xVal>
          <c:yVal>
            <c:numRef>
              <c:f>Sheet1!$N$49:$N$52</c:f>
              <c:numCache>
                <c:formatCode>General</c:formatCode>
                <c:ptCount val="4"/>
                <c:pt idx="0">
                  <c:v>3.5107142857142852</c:v>
                </c:pt>
                <c:pt idx="1">
                  <c:v>6.6142857142857139</c:v>
                </c:pt>
                <c:pt idx="2">
                  <c:v>9.8499999999999979</c:v>
                </c:pt>
                <c:pt idx="3">
                  <c:v>12.967857142857145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1-4DC8-87B0-9EFEE95E6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73743"/>
        <c:axId val="513074223"/>
      </c:scatterChart>
      <c:valAx>
        <c:axId val="51307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4223"/>
        <c:crosses val="autoZero"/>
        <c:crossBetween val="midCat"/>
      </c:valAx>
      <c:valAx>
        <c:axId val="513074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7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Sheet1!$Q$48</c:f>
              <c:strCache>
                <c:ptCount val="1"/>
                <c:pt idx="0">
                  <c:v>lnqe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925443730441224E-2"/>
                  <c:y val="-0.258166479709341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Sheet1!$P$49:$P$52</c:f>
              <c:numCache>
                <c:formatCode>General</c:formatCode>
                <c:ptCount val="4"/>
                <c:pt idx="0">
                  <c:v>1619833.3216055527</c:v>
                </c:pt>
                <c:pt idx="1">
                  <c:v>411092.46450313122</c:v>
                </c:pt>
                <c:pt idx="2">
                  <c:v>193299.55167392048</c:v>
                </c:pt>
                <c:pt idx="3">
                  <c:v>108515.99423342453</c:v>
                </c:pt>
              </c:numCache>
            </c:numRef>
          </c:xVal>
          <c:yVal>
            <c:numRef>
              <c:f>Sheet1!$Q$49:$Q$52</c:f>
              <c:numCache>
                <c:formatCode>General</c:formatCode>
                <c:ptCount val="4"/>
                <c:pt idx="0">
                  <c:v>1.2558195169779167</c:v>
                </c:pt>
                <c:pt idx="1">
                  <c:v>1.889231812036875</c:v>
                </c:pt>
                <c:pt idx="2">
                  <c:v>2.2874714551839972</c:v>
                </c:pt>
                <c:pt idx="3">
                  <c:v>2.5624737682450864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D-48F9-923B-A512001D012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Sheet1!$P$49:$P$52</c:f>
              <c:numCache>
                <c:formatCode>General</c:formatCode>
                <c:ptCount val="4"/>
                <c:pt idx="0">
                  <c:v>1619833.3216055527</c:v>
                </c:pt>
                <c:pt idx="1">
                  <c:v>411092.46450313122</c:v>
                </c:pt>
                <c:pt idx="2">
                  <c:v>193299.55167392048</c:v>
                </c:pt>
                <c:pt idx="3">
                  <c:v>108515.99423342453</c:v>
                </c:pt>
              </c:numCache>
            </c:numRef>
          </c:xVal>
          <c:yVal>
            <c:numRef>
              <c:f>Sheet1!$Q$34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62-4D02-94DC-3C9B69175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033903"/>
        <c:axId val="513020463"/>
      </c:scatterChart>
      <c:valAx>
        <c:axId val="51303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ε2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20463"/>
        <c:crosses val="autoZero"/>
        <c:crossBetween val="midCat"/>
      </c:valAx>
      <c:valAx>
        <c:axId val="5130204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lnqe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03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Sheet1!$G$34</c:f>
              <c:strCache>
                <c:ptCount val="1"/>
                <c:pt idx="0">
                  <c:v>logqe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038867016622925"/>
                  <c:y val="-5.48235637212015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Sheet1!$F$35:$F$38</c:f>
              <c:numCache>
                <c:formatCode>General</c:formatCode>
                <c:ptCount val="4"/>
                <c:pt idx="0">
                  <c:v>4.4203662492053222E-2</c:v>
                </c:pt>
                <c:pt idx="1">
                  <c:v>0.43479693999738134</c:v>
                </c:pt>
                <c:pt idx="2">
                  <c:v>0.62251006556937649</c:v>
                </c:pt>
                <c:pt idx="3">
                  <c:v>0.77006262430229966</c:v>
                </c:pt>
              </c:numCache>
            </c:numRef>
          </c:xVal>
          <c:yVal>
            <c:numRef>
              <c:f>Sheet1!$G$35:$G$38</c:f>
              <c:numCache>
                <c:formatCode>General</c:formatCode>
                <c:ptCount val="4"/>
                <c:pt idx="0">
                  <c:v>0.59026846659840448</c:v>
                </c:pt>
                <c:pt idx="1">
                  <c:v>0.86204614832818827</c:v>
                </c:pt>
                <c:pt idx="2">
                  <c:v>1.0337108923449487</c:v>
                </c:pt>
                <c:pt idx="3">
                  <c:v>1.1495489983392271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E-4984-8765-EBE9889FF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886224"/>
        <c:axId val="2118876144"/>
      </c:scatterChart>
      <c:valAx>
        <c:axId val="2118886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76144"/>
        <c:crosses val="autoZero"/>
        <c:crossBetween val="midCat"/>
      </c:valAx>
      <c:valAx>
        <c:axId val="2118876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logqe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8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8937007874017"/>
          <c:y val="5.0925925925925923E-2"/>
          <c:w val="0.72679374453193346"/>
          <c:h val="0.7897995042286380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Sheet1!$E$61</c:f>
              <c:strCache>
                <c:ptCount val="1"/>
                <c:pt idx="0">
                  <c:v>GO-MCC-50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Sheet1!$E$62:$E$65</c:f>
              <c:numCache>
                <c:formatCode>General</c:formatCode>
                <c:ptCount val="4"/>
                <c:pt idx="0">
                  <c:v>0.67826499813477126</c:v>
                </c:pt>
                <c:pt idx="1">
                  <c:v>0.51316262123466927</c:v>
                </c:pt>
                <c:pt idx="2">
                  <c:v>0.41270299828728257</c:v>
                </c:pt>
                <c:pt idx="3">
                  <c:v>0.34513701939670044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4-4985-8C16-BF1F97F59AB9}"/>
            </c:ext>
          </c:extLst>
        </c:ser>
        <c:ser>
          <c:idx val="1"/>
          <c:order val="1"/>
          <c:tx>
            <c:strRef>
              <c:f>Sheet1!$F$61</c:f>
              <c:strCache>
                <c:ptCount val="1"/>
                <c:pt idx="0">
                  <c:v>GO-MCC-50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Sheet1!$F$62:$F$65</c:f>
              <c:numCache>
                <c:formatCode>General</c:formatCode>
                <c:ptCount val="4"/>
                <c:pt idx="0">
                  <c:v>0.64516129032258063</c:v>
                </c:pt>
                <c:pt idx="1">
                  <c:v>0.47619047619047616</c:v>
                </c:pt>
                <c:pt idx="2">
                  <c:v>0.37735849056603776</c:v>
                </c:pt>
                <c:pt idx="3">
                  <c:v>0.3125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84-4985-8C16-BF1F97F59AB9}"/>
            </c:ext>
          </c:extLst>
        </c:ser>
        <c:ser>
          <c:idx val="2"/>
          <c:order val="2"/>
          <c:tx>
            <c:strRef>
              <c:f>Sheet1!$G$61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Sheet1!$D$62:$D$65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Sheet1!$G$62:$G$65</c:f>
              <c:numCache>
                <c:formatCode>General</c:formatCode>
                <c:ptCount val="4"/>
                <c:pt idx="0">
                  <c:v>0.80677692617991126</c:v>
                </c:pt>
                <c:pt idx="1">
                  <c:v>0.67613252197430695</c:v>
                </c:pt>
                <c:pt idx="2">
                  <c:v>0.58190282222868783</c:v>
                </c:pt>
                <c:pt idx="3">
                  <c:v>0.51072522982635338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84-4985-8C16-BF1F97F5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42096"/>
        <c:axId val="148325776"/>
      </c:scatterChart>
      <c:valAx>
        <c:axId val="1483420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5776"/>
        <c:crosses val="autoZero"/>
        <c:crossBetween val="midCat"/>
      </c:valAx>
      <c:valAx>
        <c:axId val="148325776"/>
        <c:scaling>
          <c:orientation val="minMax"/>
          <c:max val="0.85000000000000009"/>
          <c:min val="0.25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4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63247412182832"/>
          <c:y val="8.6052278135239954E-2"/>
          <c:w val="0.8017117805627394"/>
          <c:h val="0.7137902712863527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Sheet1!$Y$7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Sheet1!$Y$8:$Y$11</c:f>
              <c:numCache>
                <c:formatCode>General</c:formatCode>
                <c:ptCount val="4"/>
                <c:pt idx="0">
                  <c:v>70.214285714285708</c:v>
                </c:pt>
                <c:pt idx="1">
                  <c:v>66.142857142857139</c:v>
                </c:pt>
                <c:pt idx="2">
                  <c:v>65.666666666666657</c:v>
                </c:pt>
                <c:pt idx="3">
                  <c:v>64.839285714285722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54-4DFD-B2B8-B506E44DEA4D}"/>
            </c:ext>
          </c:extLst>
        </c:ser>
        <c:ser>
          <c:idx val="1"/>
          <c:order val="1"/>
          <c:tx>
            <c:strRef>
              <c:f>Sheet1!$Z$7</c:f>
              <c:strCache>
                <c:ptCount val="1"/>
                <c:pt idx="0">
                  <c:v>GO-MCC-50µm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Sheet1!$Z$8:$Z$11</c:f>
              <c:numCache>
                <c:formatCode>General</c:formatCode>
                <c:ptCount val="4"/>
                <c:pt idx="0">
                  <c:v>77.857142857142861</c:v>
                </c:pt>
                <c:pt idx="1">
                  <c:v>72.785714285714292</c:v>
                </c:pt>
                <c:pt idx="2">
                  <c:v>72.047619047619051</c:v>
                </c:pt>
                <c:pt idx="3">
                  <c:v>70.553571428571416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54-4DFD-B2B8-B506E44DEA4D}"/>
            </c:ext>
          </c:extLst>
        </c:ser>
        <c:ser>
          <c:idx val="2"/>
          <c:order val="2"/>
          <c:tx>
            <c:strRef>
              <c:f>Sheet1!$AA$7</c:f>
              <c:strCache>
                <c:ptCount val="1"/>
                <c:pt idx="0">
                  <c:v>GO-MCC90µm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Sheet1!$X$8:$X$11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Sheet1!$AA$8:$AA$11</c:f>
              <c:numCache>
                <c:formatCode>General</c:formatCode>
                <c:ptCount val="4"/>
                <c:pt idx="0">
                  <c:v>74.214285714285694</c:v>
                </c:pt>
                <c:pt idx="1">
                  <c:v>67.499999999999972</c:v>
                </c:pt>
                <c:pt idx="2">
                  <c:v>65.261904761904745</c:v>
                </c:pt>
                <c:pt idx="3">
                  <c:v>63.303571428571431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54-4DFD-B2B8-B506E44DE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533696"/>
        <c:axId val="1242534176"/>
      </c:scatterChart>
      <c:valAx>
        <c:axId val="124253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1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</a:t>
                </a:r>
                <a:r>
                  <a:rPr lang="en-GB" sz="1600" b="1" baseline="-25000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</a:t>
                </a:r>
                <a:r>
                  <a:rPr lang="en-GB" sz="1600" b="1">
                    <a:solidFill>
                      <a:sysClr val="windowText" lastClr="000000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(mg/L)</a:t>
                </a:r>
              </a:p>
            </c:rich>
          </c:tx>
          <c:layout>
            <c:manualLayout>
              <c:xMode val="edge"/>
              <c:yMode val="edge"/>
              <c:x val="0.40826628251525482"/>
              <c:y val="0.88227267283585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534176"/>
        <c:crosses val="autoZero"/>
        <c:crossBetween val="midCat"/>
      </c:valAx>
      <c:valAx>
        <c:axId val="1242534176"/>
        <c:scaling>
          <c:orientation val="minMax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53369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195022775372503"/>
          <c:y val="0.128905865971218"/>
          <c:w val="0.25099388767214914"/>
          <c:h val="0.239186795697820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439875</xdr:colOff>
      <xdr:row>29</xdr:row>
      <xdr:rowOff>21937</xdr:rowOff>
    </xdr:from>
    <xdr:to>
      <xdr:col>33</xdr:col>
      <xdr:colOff>512579</xdr:colOff>
      <xdr:row>42</xdr:row>
      <xdr:rowOff>184769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9D3C8E-21C1-A81E-296B-FC027F800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404255</xdr:colOff>
      <xdr:row>29</xdr:row>
      <xdr:rowOff>28745</xdr:rowOff>
    </xdr:from>
    <xdr:to>
      <xdr:col>48</xdr:col>
      <xdr:colOff>483138</xdr:colOff>
      <xdr:row>42</xdr:row>
      <xdr:rowOff>102810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815BE01-EF9D-839B-4295-A949FB8A4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210559</xdr:colOff>
      <xdr:row>29</xdr:row>
      <xdr:rowOff>17486</xdr:rowOff>
    </xdr:from>
    <xdr:to>
      <xdr:col>41</xdr:col>
      <xdr:colOff>123513</xdr:colOff>
      <xdr:row>42</xdr:row>
      <xdr:rowOff>134027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482A74F-5190-FD77-B8D1-BD5C66090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463627</xdr:colOff>
      <xdr:row>43</xdr:row>
      <xdr:rowOff>77131</xdr:rowOff>
    </xdr:from>
    <xdr:to>
      <xdr:col>25</xdr:col>
      <xdr:colOff>501601</xdr:colOff>
      <xdr:row>58</xdr:row>
      <xdr:rowOff>80682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82E9115-E52D-7E21-0BD3-9B1BDB286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337869</xdr:colOff>
      <xdr:row>45</xdr:row>
      <xdr:rowOff>8626</xdr:rowOff>
    </xdr:from>
    <xdr:to>
      <xdr:col>34</xdr:col>
      <xdr:colOff>79076</xdr:colOff>
      <xdr:row>59</xdr:row>
      <xdr:rowOff>135147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C6823A-67DD-1EB7-5F4F-ACDAF4A75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251604</xdr:colOff>
      <xdr:row>45</xdr:row>
      <xdr:rowOff>159475</xdr:rowOff>
    </xdr:from>
    <xdr:to>
      <xdr:col>41</xdr:col>
      <xdr:colOff>186906</xdr:colOff>
      <xdr:row>59</xdr:row>
      <xdr:rowOff>179604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654E3E5-7B33-BC09-A3B8-7FB6468BA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504825</xdr:colOff>
      <xdr:row>44</xdr:row>
      <xdr:rowOff>95250</xdr:rowOff>
    </xdr:from>
    <xdr:to>
      <xdr:col>48</xdr:col>
      <xdr:colOff>400050</xdr:colOff>
      <xdr:row>58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F685320-4A09-763D-2D1C-7B9844C08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323967</xdr:colOff>
      <xdr:row>61</xdr:row>
      <xdr:rowOff>142523</xdr:rowOff>
    </xdr:from>
    <xdr:to>
      <xdr:col>26</xdr:col>
      <xdr:colOff>19167</xdr:colOff>
      <xdr:row>76</xdr:row>
      <xdr:rowOff>28223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BD8D53B-A1EF-8D15-3A47-112C9EE69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355208</xdr:colOff>
      <xdr:row>62</xdr:row>
      <xdr:rowOff>28682</xdr:rowOff>
    </xdr:from>
    <xdr:to>
      <xdr:col>34</xdr:col>
      <xdr:colOff>52120</xdr:colOff>
      <xdr:row>76</xdr:row>
      <xdr:rowOff>94180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113930F-9E83-3AB0-0D37-BE89CE8E2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331023</xdr:colOff>
      <xdr:row>62</xdr:row>
      <xdr:rowOff>67263</xdr:rowOff>
    </xdr:from>
    <xdr:to>
      <xdr:col>42</xdr:col>
      <xdr:colOff>24342</xdr:colOff>
      <xdr:row>76</xdr:row>
      <xdr:rowOff>131704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EF6A168-81DE-4187-011F-1E78BAF3F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295275</xdr:colOff>
      <xdr:row>62</xdr:row>
      <xdr:rowOff>19050</xdr:rowOff>
    </xdr:from>
    <xdr:to>
      <xdr:col>49</xdr:col>
      <xdr:colOff>410309</xdr:colOff>
      <xdr:row>74</xdr:row>
      <xdr:rowOff>105508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5EEEBE2-1AE3-8501-FB01-BCB6DDC76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516272</xdr:colOff>
      <xdr:row>27</xdr:row>
      <xdr:rowOff>27023</xdr:rowOff>
    </xdr:from>
    <xdr:to>
      <xdr:col>26</xdr:col>
      <xdr:colOff>357620</xdr:colOff>
      <xdr:row>42</xdr:row>
      <xdr:rowOff>138782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6D5B07-E63F-5954-3760-A38D63AA3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508002</xdr:colOff>
      <xdr:row>66</xdr:row>
      <xdr:rowOff>34807</xdr:rowOff>
    </xdr:from>
    <xdr:to>
      <xdr:col>11</xdr:col>
      <xdr:colOff>188150</xdr:colOff>
      <xdr:row>81</xdr:row>
      <xdr:rowOff>96896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A8956CF-92CB-92D8-F620-1AE4ECE81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27</xdr:col>
      <xdr:colOff>218131</xdr:colOff>
      <xdr:row>6</xdr:row>
      <xdr:rowOff>42030</xdr:rowOff>
    </xdr:from>
    <xdr:to>
      <xdr:col>34</xdr:col>
      <xdr:colOff>554307</xdr:colOff>
      <xdr:row>21</xdr:row>
      <xdr:rowOff>99196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F5E884-1274-907A-A811-F5BB79517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BB75"/>
  <sheetViews>
    <sheetView tabSelected="1" topLeftCell="U6" zoomScale="146" zoomScaleNormal="146" workbookViewId="0">
      <selection activeCell="AA7" sqref="AA7"/>
    </sheetView>
  </sheetViews>
  <sheetFormatPr defaultRowHeight="14.4" x14ac:dyDescent="0.3"/>
  <sheetData>
    <row r="3" spans="1:27" x14ac:dyDescent="0.3">
      <c r="B3" t="s">
        <v>9</v>
      </c>
      <c r="C3" t="s">
        <v>4</v>
      </c>
    </row>
    <row r="4" spans="1:27" x14ac:dyDescent="0.3">
      <c r="B4">
        <v>1</v>
      </c>
      <c r="C4">
        <v>5.0799999999999998E-2</v>
      </c>
    </row>
    <row r="5" spans="1:27" x14ac:dyDescent="0.3">
      <c r="B5">
        <v>2</v>
      </c>
      <c r="C5">
        <v>5.3699999999999998E-2</v>
      </c>
    </row>
    <row r="6" spans="1:27" x14ac:dyDescent="0.3">
      <c r="B6">
        <v>5</v>
      </c>
      <c r="C6">
        <v>6.2399999999999997E-2</v>
      </c>
    </row>
    <row r="7" spans="1:27" x14ac:dyDescent="0.3">
      <c r="B7">
        <v>10</v>
      </c>
      <c r="C7">
        <v>7.7640000000000001E-2</v>
      </c>
      <c r="Y7" t="s">
        <v>21</v>
      </c>
      <c r="Z7" t="s">
        <v>30</v>
      </c>
      <c r="AA7" t="s">
        <v>31</v>
      </c>
    </row>
    <row r="8" spans="1:27" x14ac:dyDescent="0.3">
      <c r="B8">
        <v>20</v>
      </c>
      <c r="C8">
        <v>0.10376000000000001</v>
      </c>
      <c r="X8">
        <v>5</v>
      </c>
      <c r="Y8">
        <v>70.214285714285708</v>
      </c>
      <c r="Z8">
        <v>77.857142857142861</v>
      </c>
      <c r="AA8">
        <v>74.214285714285694</v>
      </c>
    </row>
    <row r="9" spans="1:27" x14ac:dyDescent="0.3">
      <c r="X9">
        <v>10</v>
      </c>
      <c r="Y9">
        <v>66.142857142857139</v>
      </c>
      <c r="Z9">
        <v>72.785714285714292</v>
      </c>
      <c r="AA9">
        <v>67.499999999999972</v>
      </c>
    </row>
    <row r="10" spans="1:27" x14ac:dyDescent="0.3">
      <c r="X10">
        <v>15</v>
      </c>
      <c r="Y10">
        <v>65.666666666666657</v>
      </c>
      <c r="Z10">
        <v>72.047619047619051</v>
      </c>
      <c r="AA10">
        <v>65.261904761904745</v>
      </c>
    </row>
    <row r="11" spans="1:27" x14ac:dyDescent="0.3">
      <c r="X11">
        <v>20</v>
      </c>
      <c r="Y11">
        <v>64.839285714285722</v>
      </c>
      <c r="Z11">
        <v>70.553571428571416</v>
      </c>
      <c r="AA11">
        <v>63.303571428571431</v>
      </c>
    </row>
    <row r="12" spans="1:27" x14ac:dyDescent="0.3">
      <c r="A12" t="s">
        <v>22</v>
      </c>
      <c r="H12" t="s">
        <v>17</v>
      </c>
    </row>
    <row r="13" spans="1:27" x14ac:dyDescent="0.3">
      <c r="B13" t="s">
        <v>10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13</v>
      </c>
      <c r="I13" t="s">
        <v>12</v>
      </c>
      <c r="J13" t="s">
        <v>25</v>
      </c>
      <c r="K13" t="s">
        <v>24</v>
      </c>
      <c r="L13" t="s">
        <v>26</v>
      </c>
      <c r="M13" t="s">
        <v>14</v>
      </c>
      <c r="N13" t="s">
        <v>27</v>
      </c>
      <c r="O13" t="s">
        <v>28</v>
      </c>
      <c r="P13" t="s">
        <v>29</v>
      </c>
      <c r="Q13" t="s">
        <v>15</v>
      </c>
      <c r="R13" t="s">
        <v>16</v>
      </c>
    </row>
    <row r="14" spans="1:27" x14ac:dyDescent="0.3">
      <c r="B14" t="s">
        <v>0</v>
      </c>
      <c r="C14">
        <v>5.1499999999999997E-2</v>
      </c>
      <c r="D14">
        <v>5</v>
      </c>
      <c r="E14">
        <f>(C14-0.0484)/0.0028</f>
        <v>1.1071428571428565</v>
      </c>
      <c r="F14">
        <f>D14-E14</f>
        <v>3.8928571428571432</v>
      </c>
      <c r="G14">
        <f>(F14*100)/D14</f>
        <v>77.857142857142861</v>
      </c>
      <c r="H14">
        <f>((D14-E14)*0.01)/0.01</f>
        <v>3.8928571428571428</v>
      </c>
      <c r="I14">
        <f>LOG(H14)</f>
        <v>0.59026846659840437</v>
      </c>
      <c r="J14">
        <f>LOG(E14)</f>
        <v>4.4203662492053222E-2</v>
      </c>
      <c r="K14">
        <f>E14/H14</f>
        <v>0.28440366972477049</v>
      </c>
      <c r="L14">
        <f>LN(E14)</f>
        <v>0.10178269430994177</v>
      </c>
      <c r="M14">
        <f>LN(H14)</f>
        <v>1.3591433720539399</v>
      </c>
      <c r="N14">
        <f>1/E14</f>
        <v>0.90322580645161343</v>
      </c>
      <c r="O14">
        <f>1+N14</f>
        <v>1.9032258064516134</v>
      </c>
      <c r="P14">
        <f>LN(O14)</f>
        <v>0.64355023942057343</v>
      </c>
      <c r="Q14">
        <f>8.314*298*P14</f>
        <v>1594.4420537817091</v>
      </c>
      <c r="R14">
        <f>Q14*Q14</f>
        <v>2542245.4628676344</v>
      </c>
    </row>
    <row r="15" spans="1:27" x14ac:dyDescent="0.3">
      <c r="B15" t="s">
        <v>1</v>
      </c>
      <c r="C15">
        <v>5.602E-2</v>
      </c>
      <c r="D15">
        <v>10</v>
      </c>
      <c r="E15">
        <f t="shared" ref="E15:E31" si="0">(C15-0.0484)/0.0028</f>
        <v>2.721428571428572</v>
      </c>
      <c r="F15">
        <f t="shared" ref="F15:F31" si="1">D15-E15</f>
        <v>7.2785714285714285</v>
      </c>
      <c r="G15">
        <f t="shared" ref="G15:G17" si="2">(F15*100)/D15</f>
        <v>72.785714285714292</v>
      </c>
      <c r="H15">
        <f t="shared" ref="H15:H30" si="3">((D15-E15)*0.01)/0.01</f>
        <v>7.2785714285714285</v>
      </c>
      <c r="I15">
        <f>LOG(H15)</f>
        <v>0.86204614832818838</v>
      </c>
      <c r="J15">
        <f t="shared" ref="J15:J31" si="4">LOG(E15)</f>
        <v>0.43479693999738134</v>
      </c>
      <c r="K15">
        <f t="shared" ref="K15:K31" si="5">E15/H15</f>
        <v>0.37389597644749761</v>
      </c>
      <c r="L15">
        <f t="shared" ref="L15:L31" si="6">LN(E15)</f>
        <v>1.0011569525173969</v>
      </c>
      <c r="M15">
        <f t="shared" ref="M15:M31" si="7">LN(H15)</f>
        <v>1.9849346106134205</v>
      </c>
      <c r="N15">
        <f t="shared" ref="N15:N31" si="8">1/E15</f>
        <v>0.36745406824146976</v>
      </c>
      <c r="O15">
        <f t="shared" ref="O15:O31" si="9">1+N15</f>
        <v>1.3674540682414698</v>
      </c>
      <c r="P15">
        <f t="shared" ref="P15:P31" si="10">LN(O15)</f>
        <v>0.31295066662666593</v>
      </c>
      <c r="Q15">
        <f t="shared" ref="Q15:Q31" si="11">8.314*298*P15</f>
        <v>775.357809015562</v>
      </c>
      <c r="R15">
        <f t="shared" ref="R15:R31" si="12">Q15*Q15</f>
        <v>601179.73200141266</v>
      </c>
    </row>
    <row r="16" spans="1:27" x14ac:dyDescent="0.3">
      <c r="B16" t="s">
        <v>2</v>
      </c>
      <c r="C16">
        <v>6.0139999999999999E-2</v>
      </c>
      <c r="D16">
        <v>15</v>
      </c>
      <c r="E16">
        <f t="shared" si="0"/>
        <v>4.1928571428571431</v>
      </c>
      <c r="F16">
        <f t="shared" si="1"/>
        <v>10.807142857142857</v>
      </c>
      <c r="G16">
        <f t="shared" si="2"/>
        <v>72.047619047619051</v>
      </c>
      <c r="H16">
        <f t="shared" si="3"/>
        <v>10.807142857142857</v>
      </c>
      <c r="I16">
        <f>LOG(H16)</f>
        <v>1.0337108923449487</v>
      </c>
      <c r="J16">
        <f t="shared" si="4"/>
        <v>0.62251006556937649</v>
      </c>
      <c r="K16">
        <f t="shared" si="5"/>
        <v>0.38797091870456052</v>
      </c>
      <c r="L16">
        <f t="shared" si="6"/>
        <v>1.4333823972187922</v>
      </c>
      <c r="M16">
        <f t="shared" si="7"/>
        <v>2.3802072911790515</v>
      </c>
      <c r="N16">
        <f t="shared" si="8"/>
        <v>0.23850085178875638</v>
      </c>
      <c r="O16">
        <f t="shared" si="9"/>
        <v>1.2385008517887564</v>
      </c>
      <c r="P16">
        <f t="shared" si="10"/>
        <v>0.21390165770542288</v>
      </c>
      <c r="Q16">
        <f t="shared" si="11"/>
        <v>529.95675788454002</v>
      </c>
      <c r="R16">
        <f t="shared" si="12"/>
        <v>280854.16522749298</v>
      </c>
    </row>
    <row r="17" spans="1:54" x14ac:dyDescent="0.3">
      <c r="B17" t="s">
        <v>3</v>
      </c>
      <c r="C17">
        <v>6.4890000000000003E-2</v>
      </c>
      <c r="D17">
        <v>20</v>
      </c>
      <c r="E17">
        <f t="shared" si="0"/>
        <v>5.889285714285716</v>
      </c>
      <c r="F17">
        <f t="shared" si="1"/>
        <v>14.110714285714284</v>
      </c>
      <c r="G17">
        <f t="shared" si="2"/>
        <v>70.553571428571416</v>
      </c>
      <c r="H17">
        <f t="shared" si="3"/>
        <v>14.110714285714284</v>
      </c>
      <c r="I17">
        <f>LOG(H17)</f>
        <v>1.1495489983392271</v>
      </c>
      <c r="J17">
        <f t="shared" si="4"/>
        <v>0.77006262430229966</v>
      </c>
      <c r="K17">
        <f t="shared" si="5"/>
        <v>0.41736269298911688</v>
      </c>
      <c r="L17">
        <f t="shared" si="6"/>
        <v>1.7731347193903495</v>
      </c>
      <c r="M17">
        <f t="shared" si="7"/>
        <v>2.6469343872421409</v>
      </c>
      <c r="N17">
        <f t="shared" si="8"/>
        <v>0.1697998787143723</v>
      </c>
      <c r="O17">
        <f t="shared" si="9"/>
        <v>1.1697998787143722</v>
      </c>
      <c r="P17">
        <f t="shared" si="10"/>
        <v>0.15683269034613004</v>
      </c>
      <c r="Q17">
        <f t="shared" si="11"/>
        <v>388.56428228624213</v>
      </c>
      <c r="R17">
        <f t="shared" si="12"/>
        <v>150982.20146862246</v>
      </c>
    </row>
    <row r="19" spans="1:54" x14ac:dyDescent="0.3">
      <c r="A19" t="s">
        <v>11</v>
      </c>
    </row>
    <row r="20" spans="1:54" x14ac:dyDescent="0.3">
      <c r="B20" t="s">
        <v>10</v>
      </c>
    </row>
    <row r="21" spans="1:54" x14ac:dyDescent="0.3">
      <c r="B21" t="s">
        <v>0</v>
      </c>
      <c r="C21">
        <v>5.2010000000000001E-2</v>
      </c>
      <c r="D21">
        <v>5</v>
      </c>
      <c r="E21">
        <f>(C21-0.0484)/0.0028</f>
        <v>1.289285714285715</v>
      </c>
      <c r="F21">
        <f t="shared" si="1"/>
        <v>3.710714285714285</v>
      </c>
      <c r="G21">
        <f t="shared" ref="G21:G31" si="13">(F21*100)/D21</f>
        <v>74.214285714285694</v>
      </c>
      <c r="H21">
        <f>((D21-E21)*0.01)/0.01</f>
        <v>3.710714285714285</v>
      </c>
      <c r="I21">
        <f>LOG(H21)</f>
        <v>0.5694575162149581</v>
      </c>
      <c r="J21">
        <f t="shared" si="4"/>
        <v>0.11034917056343896</v>
      </c>
      <c r="K21">
        <f t="shared" si="5"/>
        <v>0.3474494706448511</v>
      </c>
      <c r="L21">
        <f t="shared" si="6"/>
        <v>0.25408835516363187</v>
      </c>
      <c r="M21">
        <f t="shared" si="7"/>
        <v>1.3112243879299776</v>
      </c>
      <c r="N21">
        <f t="shared" si="8"/>
        <v>0.77562326869806053</v>
      </c>
      <c r="O21">
        <f t="shared" si="9"/>
        <v>1.7756232686980606</v>
      </c>
      <c r="P21">
        <f t="shared" si="10"/>
        <v>0.57415149858778891</v>
      </c>
      <c r="Q21">
        <f t="shared" si="11"/>
        <v>1422.5016766591455</v>
      </c>
      <c r="R21">
        <f t="shared" si="12"/>
        <v>2023511.0200980799</v>
      </c>
    </row>
    <row r="22" spans="1:54" x14ac:dyDescent="0.3">
      <c r="B22" t="s">
        <v>1</v>
      </c>
      <c r="C22">
        <v>5.7500000000000002E-2</v>
      </c>
      <c r="D22">
        <v>10</v>
      </c>
      <c r="E22">
        <f t="shared" si="0"/>
        <v>3.2500000000000013</v>
      </c>
      <c r="F22">
        <f t="shared" si="1"/>
        <v>6.7499999999999982</v>
      </c>
      <c r="G22">
        <f t="shared" si="13"/>
        <v>67.499999999999972</v>
      </c>
      <c r="H22">
        <f t="shared" si="3"/>
        <v>6.7499999999999991</v>
      </c>
      <c r="I22">
        <f>LOG(H22)</f>
        <v>0.82930377283102485</v>
      </c>
      <c r="J22">
        <f t="shared" si="4"/>
        <v>0.51188336097887455</v>
      </c>
      <c r="K22">
        <f t="shared" si="5"/>
        <v>0.48148148148148173</v>
      </c>
      <c r="L22">
        <f t="shared" si="6"/>
        <v>1.1786549963416466</v>
      </c>
      <c r="M22">
        <f t="shared" si="7"/>
        <v>1.9095425048844383</v>
      </c>
      <c r="N22">
        <f t="shared" si="8"/>
        <v>0.30769230769230754</v>
      </c>
      <c r="O22">
        <f t="shared" si="9"/>
        <v>1.3076923076923075</v>
      </c>
      <c r="P22">
        <f t="shared" si="10"/>
        <v>0.2682639865946792</v>
      </c>
      <c r="Q22">
        <f t="shared" si="11"/>
        <v>664.64334179535263</v>
      </c>
      <c r="R22">
        <f t="shared" si="12"/>
        <v>441750.77179289394</v>
      </c>
    </row>
    <row r="23" spans="1:54" x14ac:dyDescent="0.3">
      <c r="B23" t="s">
        <v>2</v>
      </c>
      <c r="C23">
        <v>6.2990000000000004E-2</v>
      </c>
      <c r="D23">
        <v>15</v>
      </c>
      <c r="E23">
        <f t="shared" si="0"/>
        <v>5.2107142857142881</v>
      </c>
      <c r="F23">
        <f t="shared" si="1"/>
        <v>9.789285714285711</v>
      </c>
      <c r="G23">
        <f t="shared" si="13"/>
        <v>65.261904761904745</v>
      </c>
      <c r="H23">
        <f t="shared" si="3"/>
        <v>9.789285714285711</v>
      </c>
      <c r="I23">
        <f>LOG(H23)</f>
        <v>0.99075100419727902</v>
      </c>
      <c r="J23">
        <f t="shared" si="4"/>
        <v>0.7168972605512326</v>
      </c>
      <c r="K23">
        <f t="shared" si="5"/>
        <v>0.53228748631886214</v>
      </c>
      <c r="L23">
        <f t="shared" si="6"/>
        <v>1.6507169453535364</v>
      </c>
      <c r="M23">
        <f t="shared" si="7"/>
        <v>2.2812884931335358</v>
      </c>
      <c r="N23">
        <f t="shared" si="8"/>
        <v>0.19191226867717606</v>
      </c>
      <c r="O23">
        <f t="shared" si="9"/>
        <v>1.1919122686771761</v>
      </c>
      <c r="P23">
        <f t="shared" si="10"/>
        <v>0.17555896583149738</v>
      </c>
      <c r="Q23">
        <f t="shared" si="11"/>
        <v>434.95997809307465</v>
      </c>
      <c r="R23">
        <f t="shared" si="12"/>
        <v>189190.18254272797</v>
      </c>
    </row>
    <row r="24" spans="1:54" x14ac:dyDescent="0.3">
      <c r="B24" t="s">
        <v>3</v>
      </c>
      <c r="C24">
        <v>6.8949999999999997E-2</v>
      </c>
      <c r="D24">
        <v>20</v>
      </c>
      <c r="E24">
        <f t="shared" si="0"/>
        <v>7.3392857142857135</v>
      </c>
      <c r="F24">
        <f t="shared" si="1"/>
        <v>12.660714285714286</v>
      </c>
      <c r="G24">
        <f t="shared" si="13"/>
        <v>63.303571428571431</v>
      </c>
      <c r="H24">
        <f>((D24-E24)*0.01)/0.01</f>
        <v>12.660714285714286</v>
      </c>
      <c r="I24">
        <f>LOG(H24)</f>
        <v>1.1024582081768661</v>
      </c>
      <c r="J24">
        <f t="shared" si="4"/>
        <v>0.86565379486986871</v>
      </c>
      <c r="K24">
        <f t="shared" si="5"/>
        <v>0.57968970380818041</v>
      </c>
      <c r="L24">
        <f t="shared" si="6"/>
        <v>1.9932415237610852</v>
      </c>
      <c r="M24">
        <f t="shared" si="7"/>
        <v>2.5385038357969782</v>
      </c>
      <c r="N24">
        <f t="shared" si="8"/>
        <v>0.13625304136253044</v>
      </c>
      <c r="O24">
        <f t="shared" si="9"/>
        <v>1.1362530413625305</v>
      </c>
      <c r="P24">
        <f t="shared" si="10"/>
        <v>0.12773604317266277</v>
      </c>
      <c r="Q24">
        <f t="shared" si="11"/>
        <v>316.47524395538045</v>
      </c>
      <c r="R24">
        <f t="shared" si="12"/>
        <v>100156.58003661757</v>
      </c>
    </row>
    <row r="26" spans="1:54" x14ac:dyDescent="0.3">
      <c r="A26" t="s">
        <v>21</v>
      </c>
    </row>
    <row r="27" spans="1:54" x14ac:dyDescent="0.3">
      <c r="B27" t="s">
        <v>10</v>
      </c>
    </row>
    <row r="28" spans="1:54" x14ac:dyDescent="0.3">
      <c r="B28" t="s">
        <v>0</v>
      </c>
      <c r="C28">
        <v>5.2569999999999999E-2</v>
      </c>
      <c r="D28">
        <v>5</v>
      </c>
      <c r="E28">
        <f t="shared" si="0"/>
        <v>1.4892857142857143</v>
      </c>
      <c r="F28">
        <f t="shared" si="1"/>
        <v>3.5107142857142857</v>
      </c>
      <c r="G28">
        <f t="shared" si="13"/>
        <v>70.214285714285708</v>
      </c>
      <c r="H28">
        <f>((D28-E28)*0.01)/0.01</f>
        <v>3.5107142857142857</v>
      </c>
      <c r="I28">
        <f>LOG(H28)</f>
        <v>0.54539548648991643</v>
      </c>
      <c r="J28">
        <f t="shared" si="4"/>
        <v>0.1729780236315383</v>
      </c>
      <c r="K28">
        <f t="shared" si="5"/>
        <v>0.4242115971515768</v>
      </c>
      <c r="L28">
        <f t="shared" si="6"/>
        <v>0.39829661862955185</v>
      </c>
      <c r="M28">
        <f t="shared" si="7"/>
        <v>1.2558195169779169</v>
      </c>
      <c r="N28">
        <f t="shared" si="8"/>
        <v>0.67146282973621096</v>
      </c>
      <c r="O28">
        <f t="shared" si="9"/>
        <v>1.6714628297362109</v>
      </c>
      <c r="P28">
        <f t="shared" si="10"/>
        <v>0.51369918896172229</v>
      </c>
      <c r="Q28">
        <f t="shared" si="11"/>
        <v>1272.7267269942722</v>
      </c>
      <c r="R28">
        <f t="shared" si="12"/>
        <v>1619833.3216055527</v>
      </c>
      <c r="AZ28">
        <v>50</v>
      </c>
    </row>
    <row r="29" spans="1:54" x14ac:dyDescent="0.3">
      <c r="B29" t="s">
        <v>1</v>
      </c>
      <c r="C29">
        <v>5.7880000000000001E-2</v>
      </c>
      <c r="D29">
        <v>10</v>
      </c>
      <c r="E29">
        <f t="shared" si="0"/>
        <v>3.3857142857142866</v>
      </c>
      <c r="F29">
        <f t="shared" si="1"/>
        <v>6.6142857142857139</v>
      </c>
      <c r="G29">
        <f t="shared" si="13"/>
        <v>66.142857142857139</v>
      </c>
      <c r="H29">
        <f t="shared" si="3"/>
        <v>6.6142857142857139</v>
      </c>
      <c r="I29">
        <f>LOG(H29)</f>
        <v>0.82048295100369628</v>
      </c>
      <c r="J29">
        <f t="shared" si="4"/>
        <v>0.52965030599584717</v>
      </c>
      <c r="K29">
        <f t="shared" si="5"/>
        <v>0.51187904967602604</v>
      </c>
      <c r="L29">
        <f t="shared" si="6"/>
        <v>1.2195648990857724</v>
      </c>
      <c r="M29">
        <f t="shared" si="7"/>
        <v>1.889231812036875</v>
      </c>
      <c r="N29">
        <f t="shared" si="8"/>
        <v>0.29535864978902948</v>
      </c>
      <c r="O29">
        <f t="shared" si="9"/>
        <v>1.2953586497890295</v>
      </c>
      <c r="P29">
        <f t="shared" si="10"/>
        <v>0.25878760645206594</v>
      </c>
      <c r="Q29">
        <f t="shared" si="11"/>
        <v>641.1649276926579</v>
      </c>
      <c r="R29">
        <f t="shared" si="12"/>
        <v>411092.46450313122</v>
      </c>
    </row>
    <row r="30" spans="1:54" x14ac:dyDescent="0.3">
      <c r="B30" t="s">
        <v>2</v>
      </c>
      <c r="C30">
        <v>6.2820000000000001E-2</v>
      </c>
      <c r="D30">
        <v>15</v>
      </c>
      <c r="E30">
        <f t="shared" si="0"/>
        <v>5.1500000000000012</v>
      </c>
      <c r="F30">
        <f t="shared" si="1"/>
        <v>9.8499999999999979</v>
      </c>
      <c r="G30">
        <f t="shared" si="13"/>
        <v>65.666666666666657</v>
      </c>
      <c r="H30">
        <f t="shared" si="3"/>
        <v>9.8499999999999979</v>
      </c>
      <c r="I30">
        <f>LOG(H30)</f>
        <v>0.99343623049761165</v>
      </c>
      <c r="J30">
        <f t="shared" si="4"/>
        <v>0.71180722904119109</v>
      </c>
      <c r="K30">
        <f t="shared" si="5"/>
        <v>0.52284263959390886</v>
      </c>
      <c r="L30">
        <f t="shared" si="6"/>
        <v>1.638996714675645</v>
      </c>
      <c r="M30">
        <f t="shared" si="7"/>
        <v>2.2874714551839972</v>
      </c>
      <c r="N30">
        <f t="shared" si="8"/>
        <v>0.19417475728155334</v>
      </c>
      <c r="O30">
        <f t="shared" si="9"/>
        <v>1.1941747572815533</v>
      </c>
      <c r="P30">
        <f t="shared" si="10"/>
        <v>0.17745536714278165</v>
      </c>
      <c r="Q30">
        <f t="shared" si="11"/>
        <v>439.65844888267583</v>
      </c>
      <c r="R30">
        <f t="shared" si="12"/>
        <v>193299.55167392048</v>
      </c>
      <c r="AY30" t="s">
        <v>18</v>
      </c>
      <c r="AZ30" t="s">
        <v>20</v>
      </c>
      <c r="BB30" t="s">
        <v>19</v>
      </c>
    </row>
    <row r="31" spans="1:54" x14ac:dyDescent="0.3">
      <c r="B31" t="s">
        <v>3</v>
      </c>
      <c r="C31">
        <v>6.8089999999999998E-2</v>
      </c>
      <c r="D31">
        <v>20</v>
      </c>
      <c r="E31">
        <f t="shared" si="0"/>
        <v>7.0321428571428566</v>
      </c>
      <c r="F31">
        <f t="shared" si="1"/>
        <v>12.967857142857143</v>
      </c>
      <c r="G31">
        <f t="shared" si="13"/>
        <v>64.839285714285722</v>
      </c>
      <c r="H31">
        <f>((D31-E31)*0.01)/0.01</f>
        <v>12.967857142857145</v>
      </c>
      <c r="I31">
        <f>LOG(H31)</f>
        <v>1.1128682175706732</v>
      </c>
      <c r="J31">
        <f t="shared" si="4"/>
        <v>0.84708768479589891</v>
      </c>
      <c r="K31">
        <f t="shared" si="5"/>
        <v>0.54227485541173215</v>
      </c>
      <c r="L31">
        <f t="shared" si="6"/>
        <v>1.9504914754698759</v>
      </c>
      <c r="M31">
        <f t="shared" si="7"/>
        <v>2.5624737682450864</v>
      </c>
      <c r="N31">
        <f t="shared" si="8"/>
        <v>0.14220416455053328</v>
      </c>
      <c r="O31">
        <f t="shared" si="9"/>
        <v>1.1422041645505332</v>
      </c>
      <c r="P31">
        <f t="shared" si="10"/>
        <v>0.13295987332019008</v>
      </c>
      <c r="Q31">
        <f t="shared" si="11"/>
        <v>329.41765926164999</v>
      </c>
      <c r="R31">
        <f t="shared" si="12"/>
        <v>108515.99423342453</v>
      </c>
      <c r="AY31">
        <v>5</v>
      </c>
      <c r="AZ31">
        <v>9.4869999999999996E-2</v>
      </c>
      <c r="BA31">
        <f>AZ31*AY31</f>
        <v>0.47434999999999999</v>
      </c>
      <c r="BB31">
        <f>1/(1+BA31)</f>
        <v>0.67826499813477126</v>
      </c>
    </row>
    <row r="32" spans="1:54" x14ac:dyDescent="0.3">
      <c r="H32">
        <f t="shared" ref="H32" si="14">((D32-E32)*10)/10</f>
        <v>0</v>
      </c>
      <c r="AY32">
        <v>10</v>
      </c>
      <c r="AZ32">
        <v>9.4869999999999996E-2</v>
      </c>
      <c r="BA32">
        <f t="shared" ref="BA32:BA50" si="15">AZ32*AY32</f>
        <v>0.94869999999999999</v>
      </c>
      <c r="BB32">
        <f t="shared" ref="BB32:BB50" si="16">1/(1+BA32)</f>
        <v>0.51316262123466927</v>
      </c>
    </row>
    <row r="33" spans="4:54" x14ac:dyDescent="0.3">
      <c r="D33" t="s">
        <v>22</v>
      </c>
      <c r="AY33">
        <v>15</v>
      </c>
      <c r="AZ33">
        <v>9.4869999999999996E-2</v>
      </c>
      <c r="BA33">
        <f t="shared" si="15"/>
        <v>1.4230499999999999</v>
      </c>
      <c r="BB33">
        <f t="shared" si="16"/>
        <v>0.41270299828728257</v>
      </c>
    </row>
    <row r="34" spans="4:54" x14ac:dyDescent="0.3">
      <c r="F34" t="s">
        <v>25</v>
      </c>
      <c r="G34" t="s">
        <v>12</v>
      </c>
      <c r="I34" t="s">
        <v>6</v>
      </c>
      <c r="J34" t="s">
        <v>24</v>
      </c>
      <c r="M34" t="s">
        <v>26</v>
      </c>
      <c r="N34" t="s">
        <v>13</v>
      </c>
      <c r="P34" t="s">
        <v>16</v>
      </c>
      <c r="Q34" t="s">
        <v>14</v>
      </c>
      <c r="AY34">
        <v>20</v>
      </c>
      <c r="AZ34">
        <v>9.4869999999999996E-2</v>
      </c>
      <c r="BA34">
        <f t="shared" si="15"/>
        <v>1.8974</v>
      </c>
      <c r="BB34">
        <f t="shared" si="16"/>
        <v>0.34513701939670044</v>
      </c>
    </row>
    <row r="35" spans="4:54" x14ac:dyDescent="0.3">
      <c r="F35">
        <v>4.4203662492053222E-2</v>
      </c>
      <c r="G35">
        <v>0.59026846659840448</v>
      </c>
      <c r="I35">
        <v>1.1071428571428565</v>
      </c>
      <c r="J35">
        <v>0.28440366972477044</v>
      </c>
      <c r="M35">
        <v>0.10178269430994177</v>
      </c>
      <c r="N35">
        <v>3.8928571428571432</v>
      </c>
      <c r="P35">
        <v>2542245.4628676344</v>
      </c>
      <c r="Q35">
        <v>1.3591433720539399</v>
      </c>
    </row>
    <row r="36" spans="4:54" x14ac:dyDescent="0.3">
      <c r="F36">
        <v>0.43479693999738134</v>
      </c>
      <c r="G36">
        <v>0.86204614832818827</v>
      </c>
      <c r="I36">
        <v>2.721428571428572</v>
      </c>
      <c r="J36">
        <v>0.37389597644749767</v>
      </c>
      <c r="M36">
        <v>1.0011569525173969</v>
      </c>
      <c r="N36">
        <v>7.2785714285714276</v>
      </c>
      <c r="P36">
        <v>601179.73200141266</v>
      </c>
      <c r="Q36">
        <v>1.9849346106134205</v>
      </c>
    </row>
    <row r="37" spans="4:54" x14ac:dyDescent="0.3">
      <c r="F37">
        <v>0.62251006556937649</v>
      </c>
      <c r="G37">
        <v>1.0337108923449487</v>
      </c>
      <c r="I37">
        <v>4.1928571428571431</v>
      </c>
      <c r="J37">
        <v>0.38797091870456052</v>
      </c>
      <c r="M37">
        <v>1.4333823972187922</v>
      </c>
      <c r="N37">
        <v>10.807142857142857</v>
      </c>
      <c r="P37">
        <v>280854.16522749298</v>
      </c>
      <c r="Q37">
        <v>2.3802072911790515</v>
      </c>
      <c r="AZ37">
        <v>90</v>
      </c>
    </row>
    <row r="38" spans="4:54" x14ac:dyDescent="0.3">
      <c r="F38">
        <v>0.77006262430229966</v>
      </c>
      <c r="G38">
        <v>1.1495489983392271</v>
      </c>
      <c r="I38">
        <v>5.889285714285716</v>
      </c>
      <c r="J38">
        <v>0.41736269298911688</v>
      </c>
      <c r="M38">
        <v>1.7731347193903495</v>
      </c>
      <c r="N38">
        <v>14.110714285714284</v>
      </c>
      <c r="P38">
        <v>150982.20146862246</v>
      </c>
      <c r="Q38">
        <v>2.6469343872421409</v>
      </c>
      <c r="AY38" t="s">
        <v>18</v>
      </c>
      <c r="AZ38" t="s">
        <v>20</v>
      </c>
      <c r="BB38" t="s">
        <v>19</v>
      </c>
    </row>
    <row r="39" spans="4:54" x14ac:dyDescent="0.3">
      <c r="AY39">
        <v>5</v>
      </c>
      <c r="AZ39">
        <v>0.11</v>
      </c>
      <c r="BA39">
        <f t="shared" si="15"/>
        <v>0.55000000000000004</v>
      </c>
      <c r="BB39">
        <f t="shared" si="16"/>
        <v>0.64516129032258063</v>
      </c>
    </row>
    <row r="40" spans="4:54" x14ac:dyDescent="0.3">
      <c r="D40" t="s">
        <v>11</v>
      </c>
      <c r="AY40">
        <v>10</v>
      </c>
      <c r="AZ40">
        <v>0.11</v>
      </c>
      <c r="BA40">
        <f t="shared" si="15"/>
        <v>1.1000000000000001</v>
      </c>
      <c r="BB40">
        <f t="shared" si="16"/>
        <v>0.47619047619047616</v>
      </c>
    </row>
    <row r="41" spans="4:54" x14ac:dyDescent="0.3">
      <c r="F41" t="s">
        <v>25</v>
      </c>
      <c r="G41" t="s">
        <v>12</v>
      </c>
      <c r="I41" t="s">
        <v>6</v>
      </c>
      <c r="J41" t="s">
        <v>24</v>
      </c>
      <c r="M41" t="s">
        <v>26</v>
      </c>
      <c r="N41" t="s">
        <v>13</v>
      </c>
      <c r="P41" t="s">
        <v>16</v>
      </c>
      <c r="Q41" t="s">
        <v>14</v>
      </c>
      <c r="AY41">
        <v>15</v>
      </c>
      <c r="AZ41">
        <v>0.11</v>
      </c>
      <c r="BA41">
        <f t="shared" si="15"/>
        <v>1.65</v>
      </c>
      <c r="BB41">
        <f t="shared" si="16"/>
        <v>0.37735849056603776</v>
      </c>
    </row>
    <row r="42" spans="4:54" x14ac:dyDescent="0.3">
      <c r="F42">
        <v>0.11034917056343896</v>
      </c>
      <c r="G42">
        <v>0.5694575162149581</v>
      </c>
      <c r="I42">
        <v>1.289285714285715</v>
      </c>
      <c r="J42">
        <v>0.34744947064485115</v>
      </c>
      <c r="M42">
        <v>0.25408835516363187</v>
      </c>
      <c r="N42">
        <v>3.7107142857142845</v>
      </c>
      <c r="P42">
        <v>2023511.0200980799</v>
      </c>
      <c r="Q42">
        <v>1.3112243879299774</v>
      </c>
      <c r="AY42">
        <v>20</v>
      </c>
      <c r="AZ42">
        <v>0.11</v>
      </c>
      <c r="BA42">
        <f t="shared" si="15"/>
        <v>2.2000000000000002</v>
      </c>
      <c r="BB42">
        <f t="shared" si="16"/>
        <v>0.3125</v>
      </c>
    </row>
    <row r="43" spans="4:54" x14ac:dyDescent="0.3">
      <c r="F43">
        <v>0.51188336097887455</v>
      </c>
      <c r="G43">
        <v>0.82930377283102485</v>
      </c>
      <c r="I43">
        <v>3.2500000000000013</v>
      </c>
      <c r="J43">
        <v>0.48148148148148179</v>
      </c>
      <c r="M43">
        <v>1.1786549963416466</v>
      </c>
      <c r="N43">
        <v>6.7499999999999982</v>
      </c>
      <c r="P43">
        <v>441750.77179289394</v>
      </c>
      <c r="Q43">
        <v>1.9095425048844381</v>
      </c>
    </row>
    <row r="44" spans="4:54" x14ac:dyDescent="0.3">
      <c r="F44">
        <v>0.7168972605512326</v>
      </c>
      <c r="G44">
        <v>0.99075100419727902</v>
      </c>
      <c r="I44">
        <v>5.2107142857142881</v>
      </c>
      <c r="J44">
        <v>0.53228748631886214</v>
      </c>
      <c r="M44">
        <v>1.6507169453535364</v>
      </c>
      <c r="N44">
        <v>9.789285714285711</v>
      </c>
      <c r="P44">
        <v>189190.18254272797</v>
      </c>
      <c r="Q44">
        <v>2.2812884931335358</v>
      </c>
      <c r="AZ44" t="s">
        <v>23</v>
      </c>
    </row>
    <row r="45" spans="4:54" x14ac:dyDescent="0.3">
      <c r="F45">
        <v>0.86565379486986871</v>
      </c>
      <c r="G45">
        <v>1.1024582081768661</v>
      </c>
      <c r="I45">
        <v>7.3392857142857135</v>
      </c>
      <c r="J45">
        <v>0.57968970380818041</v>
      </c>
      <c r="M45">
        <v>1.9932415237610852</v>
      </c>
      <c r="N45">
        <v>12.660714285714286</v>
      </c>
      <c r="P45">
        <v>100156.58003661757</v>
      </c>
      <c r="Q45">
        <v>2.5385038357969782</v>
      </c>
    </row>
    <row r="46" spans="4:54" x14ac:dyDescent="0.3">
      <c r="AY46" t="s">
        <v>18</v>
      </c>
      <c r="AZ46" t="s">
        <v>20</v>
      </c>
      <c r="BB46" t="s">
        <v>19</v>
      </c>
    </row>
    <row r="47" spans="4:54" x14ac:dyDescent="0.3">
      <c r="D47" t="s">
        <v>21</v>
      </c>
      <c r="AY47">
        <v>5</v>
      </c>
      <c r="AZ47">
        <v>4.7899999999999998E-2</v>
      </c>
      <c r="BA47">
        <f t="shared" si="15"/>
        <v>0.23949999999999999</v>
      </c>
      <c r="BB47">
        <f t="shared" si="16"/>
        <v>0.80677692617991126</v>
      </c>
    </row>
    <row r="48" spans="4:54" x14ac:dyDescent="0.3">
      <c r="F48" t="s">
        <v>25</v>
      </c>
      <c r="G48" t="s">
        <v>12</v>
      </c>
      <c r="I48" t="s">
        <v>6</v>
      </c>
      <c r="J48" t="s">
        <v>24</v>
      </c>
      <c r="M48" t="s">
        <v>26</v>
      </c>
      <c r="N48" t="s">
        <v>13</v>
      </c>
      <c r="P48" t="s">
        <v>16</v>
      </c>
      <c r="Q48" t="s">
        <v>14</v>
      </c>
      <c r="AY48">
        <v>10</v>
      </c>
      <c r="AZ48">
        <v>4.7899999999999998E-2</v>
      </c>
      <c r="BA48">
        <f t="shared" si="15"/>
        <v>0.47899999999999998</v>
      </c>
      <c r="BB48">
        <f t="shared" si="16"/>
        <v>0.67613252197430695</v>
      </c>
    </row>
    <row r="49" spans="4:54" x14ac:dyDescent="0.3">
      <c r="F49">
        <v>0.1729780236315383</v>
      </c>
      <c r="G49">
        <v>0.54539548648991631</v>
      </c>
      <c r="I49">
        <v>1.4892857142857143</v>
      </c>
      <c r="J49">
        <v>0.42421159715157686</v>
      </c>
      <c r="M49">
        <v>0.39829661862955185</v>
      </c>
      <c r="N49">
        <v>3.5107142857142852</v>
      </c>
      <c r="P49">
        <v>1619833.3216055527</v>
      </c>
      <c r="Q49">
        <v>1.2558195169779167</v>
      </c>
      <c r="AY49">
        <v>15</v>
      </c>
      <c r="AZ49">
        <v>4.7899999999999998E-2</v>
      </c>
      <c r="BA49">
        <f t="shared" si="15"/>
        <v>0.71849999999999992</v>
      </c>
      <c r="BB49">
        <f t="shared" si="16"/>
        <v>0.58190282222868783</v>
      </c>
    </row>
    <row r="50" spans="4:54" x14ac:dyDescent="0.3">
      <c r="F50">
        <v>0.52965030599584717</v>
      </c>
      <c r="G50">
        <v>0.82048295100369628</v>
      </c>
      <c r="I50">
        <v>3.3857142857142866</v>
      </c>
      <c r="J50">
        <v>0.51187904967602604</v>
      </c>
      <c r="M50">
        <v>1.2195648990857724</v>
      </c>
      <c r="N50">
        <v>6.6142857142857139</v>
      </c>
      <c r="P50">
        <v>411092.46450313122</v>
      </c>
      <c r="Q50">
        <v>1.889231812036875</v>
      </c>
      <c r="AY50">
        <v>20</v>
      </c>
      <c r="AZ50">
        <v>4.7899999999999998E-2</v>
      </c>
      <c r="BA50">
        <f t="shared" si="15"/>
        <v>0.95799999999999996</v>
      </c>
      <c r="BB50">
        <f t="shared" si="16"/>
        <v>0.51072522982635338</v>
      </c>
    </row>
    <row r="51" spans="4:54" x14ac:dyDescent="0.3">
      <c r="F51">
        <v>0.71180722904119109</v>
      </c>
      <c r="G51">
        <v>0.99343623049761165</v>
      </c>
      <c r="I51">
        <v>5.1500000000000012</v>
      </c>
      <c r="J51">
        <v>0.52284263959390886</v>
      </c>
      <c r="M51">
        <v>1.638996714675645</v>
      </c>
      <c r="N51">
        <v>9.8499999999999979</v>
      </c>
      <c r="P51">
        <v>193299.55167392048</v>
      </c>
      <c r="Q51">
        <v>2.2874714551839972</v>
      </c>
    </row>
    <row r="52" spans="4:54" x14ac:dyDescent="0.3">
      <c r="F52">
        <v>0.84708768479589891</v>
      </c>
      <c r="G52">
        <v>1.1128682175706732</v>
      </c>
      <c r="I52">
        <v>7.0321428571428566</v>
      </c>
      <c r="J52">
        <v>0.54227485541173215</v>
      </c>
      <c r="M52">
        <v>1.9504914754698759</v>
      </c>
      <c r="N52">
        <v>12.967857142857145</v>
      </c>
      <c r="P52">
        <v>108515.99423342453</v>
      </c>
      <c r="Q52">
        <v>2.5624737682450864</v>
      </c>
    </row>
    <row r="56" spans="4:54" x14ac:dyDescent="0.3">
      <c r="O56">
        <v>0.67826499813477126</v>
      </c>
    </row>
    <row r="57" spans="4:54" x14ac:dyDescent="0.3">
      <c r="O57">
        <v>0.51316262123466927</v>
      </c>
    </row>
    <row r="58" spans="4:54" x14ac:dyDescent="0.3">
      <c r="O58">
        <v>0.41270299828728257</v>
      </c>
    </row>
    <row r="59" spans="4:54" x14ac:dyDescent="0.3">
      <c r="O59">
        <v>0.34513701939670044</v>
      </c>
    </row>
    <row r="61" spans="4:54" x14ac:dyDescent="0.3">
      <c r="D61" t="s">
        <v>18</v>
      </c>
      <c r="E61" t="s">
        <v>22</v>
      </c>
      <c r="F61" t="s">
        <v>22</v>
      </c>
      <c r="G61" t="s">
        <v>21</v>
      </c>
    </row>
    <row r="62" spans="4:54" x14ac:dyDescent="0.3">
      <c r="D62">
        <v>5</v>
      </c>
      <c r="E62">
        <v>0.67826499813477126</v>
      </c>
      <c r="F62">
        <v>0.64516129032258063</v>
      </c>
      <c r="G62">
        <v>0.80677692617991126</v>
      </c>
    </row>
    <row r="63" spans="4:54" x14ac:dyDescent="0.3">
      <c r="D63">
        <v>10</v>
      </c>
      <c r="E63">
        <v>0.51316262123466927</v>
      </c>
      <c r="F63">
        <v>0.47619047619047616</v>
      </c>
      <c r="G63">
        <v>0.67613252197430695</v>
      </c>
      <c r="O63" t="s">
        <v>19</v>
      </c>
    </row>
    <row r="64" spans="4:54" x14ac:dyDescent="0.3">
      <c r="D64">
        <v>15</v>
      </c>
      <c r="E64">
        <v>0.41270299828728257</v>
      </c>
      <c r="F64">
        <v>0.37735849056603776</v>
      </c>
      <c r="G64">
        <v>0.58190282222868783</v>
      </c>
      <c r="O64">
        <v>0.64516129032258063</v>
      </c>
    </row>
    <row r="65" spans="4:15" x14ac:dyDescent="0.3">
      <c r="D65">
        <v>20</v>
      </c>
      <c r="E65">
        <v>0.34513701939670044</v>
      </c>
      <c r="F65">
        <v>0.3125</v>
      </c>
      <c r="G65">
        <v>0.51072522982635338</v>
      </c>
      <c r="O65">
        <v>0.47619047619047616</v>
      </c>
    </row>
    <row r="66" spans="4:15" x14ac:dyDescent="0.3">
      <c r="O66">
        <v>0.37735849056603776</v>
      </c>
    </row>
    <row r="67" spans="4:15" x14ac:dyDescent="0.3">
      <c r="O67">
        <v>0.3125</v>
      </c>
    </row>
    <row r="71" spans="4:15" x14ac:dyDescent="0.3">
      <c r="O71" t="s">
        <v>19</v>
      </c>
    </row>
    <row r="72" spans="4:15" x14ac:dyDescent="0.3">
      <c r="O72">
        <v>0.19609765663300324</v>
      </c>
    </row>
    <row r="73" spans="4:15" x14ac:dyDescent="0.3">
      <c r="O73">
        <v>0.10870746820306555</v>
      </c>
    </row>
    <row r="74" spans="4:15" x14ac:dyDescent="0.3">
      <c r="O74">
        <v>7.5196450727525663E-2</v>
      </c>
    </row>
    <row r="75" spans="4:15" x14ac:dyDescent="0.3">
      <c r="O75">
        <v>5.7477871019657435E-2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