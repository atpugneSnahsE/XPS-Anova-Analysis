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MJ PET\"/>
    </mc:Choice>
  </mc:AlternateContent>
  <xr:revisionPtr revIDLastSave="0" documentId="13_ncr:1_{BA12C933-E18F-4DBE-9447-E04D583A9C8B}" xr6:coauthVersionLast="47" xr6:coauthVersionMax="47" xr10:uidLastSave="{00000000-0000-0000-0000-000000000000}"/>
  <bookViews>
    <workbookView xWindow="-108" yWindow="-108" windowWidth="23256" windowHeight="13896" xr2:uid="{53D7DA3D-425D-4BBF-92B3-9626310F7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32" i="1" l="1"/>
  <c r="BB33" i="1"/>
  <c r="BB34" i="1"/>
  <c r="BB39" i="1"/>
  <c r="BB40" i="1"/>
  <c r="BB41" i="1"/>
  <c r="BB42" i="1"/>
  <c r="BB47" i="1"/>
  <c r="BB48" i="1"/>
  <c r="BB49" i="1"/>
  <c r="BB50" i="1"/>
  <c r="BB31" i="1"/>
  <c r="BA32" i="1"/>
  <c r="BA33" i="1"/>
  <c r="BA34" i="1"/>
  <c r="BA39" i="1"/>
  <c r="BA40" i="1"/>
  <c r="BA41" i="1"/>
  <c r="BA42" i="1"/>
  <c r="BA47" i="1"/>
  <c r="BA48" i="1"/>
  <c r="BA49" i="1"/>
  <c r="BA50" i="1"/>
  <c r="BA31" i="1"/>
  <c r="E31" i="1"/>
  <c r="E30" i="1"/>
  <c r="E29" i="1"/>
  <c r="E15" i="1"/>
  <c r="H15" i="1" s="1"/>
  <c r="E16" i="1"/>
  <c r="H16" i="1" s="1"/>
  <c r="E17" i="1"/>
  <c r="H17" i="1" s="1"/>
  <c r="E21" i="1"/>
  <c r="H21" i="1" s="1"/>
  <c r="E22" i="1"/>
  <c r="H22" i="1" s="1"/>
  <c r="E23" i="1"/>
  <c r="E24" i="1"/>
  <c r="E28" i="1"/>
  <c r="E14" i="1"/>
  <c r="H14" i="1" s="1"/>
  <c r="T13" i="1"/>
  <c r="T16" i="1"/>
  <c r="T15" i="1"/>
  <c r="T14" i="1"/>
  <c r="T12" i="1"/>
  <c r="H23" i="1"/>
  <c r="H24" i="1"/>
  <c r="H32" i="1"/>
  <c r="H29" i="1" l="1"/>
  <c r="F29" i="1"/>
  <c r="G29" i="1" s="1"/>
  <c r="H30" i="1"/>
  <c r="F30" i="1"/>
  <c r="G30" i="1" s="1"/>
  <c r="H31" i="1"/>
  <c r="K31" i="1" s="1"/>
  <c r="F31" i="1"/>
  <c r="G31" i="1" s="1"/>
  <c r="H28" i="1"/>
  <c r="F28" i="1"/>
  <c r="G28" i="1" s="1"/>
  <c r="F14" i="1"/>
  <c r="G14" i="1" s="1"/>
  <c r="F15" i="1"/>
  <c r="G15" i="1" s="1"/>
  <c r="N15" i="1"/>
  <c r="O15" i="1" s="1"/>
  <c r="P15" i="1" s="1"/>
  <c r="Q15" i="1" s="1"/>
  <c r="R15" i="1" s="1"/>
  <c r="J15" i="1"/>
  <c r="L15" i="1"/>
  <c r="F16" i="1"/>
  <c r="G16" i="1" s="1"/>
  <c r="N16" i="1"/>
  <c r="O16" i="1" s="1"/>
  <c r="P16" i="1" s="1"/>
  <c r="Q16" i="1" s="1"/>
  <c r="R16" i="1" s="1"/>
  <c r="L16" i="1"/>
  <c r="J16" i="1"/>
  <c r="F17" i="1"/>
  <c r="G17" i="1" s="1"/>
  <c r="N17" i="1"/>
  <c r="O17" i="1" s="1"/>
  <c r="P17" i="1" s="1"/>
  <c r="Q17" i="1" s="1"/>
  <c r="R17" i="1" s="1"/>
  <c r="J17" i="1"/>
  <c r="L17" i="1"/>
  <c r="F21" i="1"/>
  <c r="G21" i="1" s="1"/>
  <c r="L21" i="1"/>
  <c r="J21" i="1"/>
  <c r="N21" i="1"/>
  <c r="O21" i="1" s="1"/>
  <c r="P21" i="1" s="1"/>
  <c r="Q21" i="1" s="1"/>
  <c r="R21" i="1" s="1"/>
  <c r="F22" i="1"/>
  <c r="G22" i="1" s="1"/>
  <c r="J22" i="1"/>
  <c r="L22" i="1"/>
  <c r="N22" i="1"/>
  <c r="O22" i="1" s="1"/>
  <c r="P22" i="1" s="1"/>
  <c r="Q22" i="1" s="1"/>
  <c r="R22" i="1" s="1"/>
  <c r="F23" i="1"/>
  <c r="G23" i="1" s="1"/>
  <c r="J23" i="1"/>
  <c r="N23" i="1"/>
  <c r="O23" i="1" s="1"/>
  <c r="P23" i="1" s="1"/>
  <c r="Q23" i="1" s="1"/>
  <c r="R23" i="1" s="1"/>
  <c r="L23" i="1"/>
  <c r="F24" i="1"/>
  <c r="G24" i="1" s="1"/>
  <c r="J24" i="1"/>
  <c r="L24" i="1"/>
  <c r="N24" i="1"/>
  <c r="O24" i="1" s="1"/>
  <c r="P24" i="1" s="1"/>
  <c r="Q24" i="1" s="1"/>
  <c r="R24" i="1" s="1"/>
  <c r="L28" i="1"/>
  <c r="N28" i="1"/>
  <c r="O28" i="1" s="1"/>
  <c r="P28" i="1" s="1"/>
  <c r="Q28" i="1" s="1"/>
  <c r="R28" i="1" s="1"/>
  <c r="J28" i="1"/>
  <c r="N29" i="1"/>
  <c r="O29" i="1" s="1"/>
  <c r="P29" i="1" s="1"/>
  <c r="Q29" i="1" s="1"/>
  <c r="R29" i="1" s="1"/>
  <c r="L29" i="1"/>
  <c r="J29" i="1"/>
  <c r="L30" i="1"/>
  <c r="N30" i="1"/>
  <c r="O30" i="1" s="1"/>
  <c r="P30" i="1" s="1"/>
  <c r="Q30" i="1" s="1"/>
  <c r="R30" i="1" s="1"/>
  <c r="J30" i="1"/>
  <c r="N31" i="1"/>
  <c r="O31" i="1" s="1"/>
  <c r="P31" i="1" s="1"/>
  <c r="Q31" i="1" s="1"/>
  <c r="R31" i="1" s="1"/>
  <c r="L31" i="1"/>
  <c r="J31" i="1"/>
  <c r="L14" i="1"/>
  <c r="N14" i="1"/>
  <c r="O14" i="1" s="1"/>
  <c r="P14" i="1" s="1"/>
  <c r="Q14" i="1" s="1"/>
  <c r="R14" i="1" s="1"/>
  <c r="J14" i="1"/>
  <c r="M15" i="1" l="1"/>
  <c r="K15" i="1"/>
  <c r="M17" i="1"/>
  <c r="K17" i="1"/>
  <c r="M29" i="1"/>
  <c r="K29" i="1"/>
  <c r="M16" i="1"/>
  <c r="K16" i="1"/>
  <c r="M21" i="1"/>
  <c r="K21" i="1"/>
  <c r="M22" i="1"/>
  <c r="K22" i="1"/>
  <c r="M23" i="1"/>
  <c r="K23" i="1"/>
  <c r="M24" i="1"/>
  <c r="K24" i="1"/>
  <c r="M30" i="1"/>
  <c r="K30" i="1"/>
  <c r="M28" i="1"/>
  <c r="K28" i="1"/>
  <c r="M31" i="1"/>
  <c r="K14" i="1"/>
  <c r="I15" i="1"/>
  <c r="I16" i="1"/>
  <c r="I17" i="1"/>
  <c r="I21" i="1"/>
  <c r="I22" i="1"/>
  <c r="I23" i="1"/>
  <c r="I24" i="1"/>
  <c r="I28" i="1"/>
  <c r="I29" i="1"/>
  <c r="I30" i="1"/>
  <c r="I31" i="1"/>
  <c r="I14" i="1"/>
  <c r="M14" i="1"/>
</calcChain>
</file>

<file path=xl/sharedStrings.xml><?xml version="1.0" encoding="utf-8"?>
<sst xmlns="http://schemas.openxmlformats.org/spreadsheetml/2006/main" count="80" uniqueCount="33">
  <si>
    <t>5mg</t>
  </si>
  <si>
    <t>10mg</t>
  </si>
  <si>
    <t>15mg</t>
  </si>
  <si>
    <t>20mg</t>
  </si>
  <si>
    <t>Absorbance</t>
  </si>
  <si>
    <t>initial concentration</t>
  </si>
  <si>
    <t>final concentration</t>
  </si>
  <si>
    <t>adsorbed</t>
  </si>
  <si>
    <t>% adsorption</t>
  </si>
  <si>
    <t>conc. Mg/L</t>
  </si>
  <si>
    <t>Ana.conc</t>
  </si>
  <si>
    <t>GO-MCC90</t>
  </si>
  <si>
    <t>logqe</t>
  </si>
  <si>
    <t>qe</t>
  </si>
  <si>
    <t>lnqe</t>
  </si>
  <si>
    <t>ε=RTln[1+1/Ce]ε</t>
  </si>
  <si>
    <t>ε2</t>
  </si>
  <si>
    <t>mg g-1</t>
  </si>
  <si>
    <t>Initial concentration</t>
  </si>
  <si>
    <t>RL</t>
  </si>
  <si>
    <t>KL</t>
  </si>
  <si>
    <t>GO-CS</t>
  </si>
  <si>
    <t>GO-MCC-50</t>
  </si>
  <si>
    <t>CS</t>
  </si>
  <si>
    <t>Ce/qe</t>
  </si>
  <si>
    <t>logCe</t>
  </si>
  <si>
    <t>lnCe</t>
  </si>
  <si>
    <t>1/Ce</t>
  </si>
  <si>
    <t>1+1/Ce</t>
  </si>
  <si>
    <t>ln(1+1/Ce)</t>
  </si>
  <si>
    <t>GO-MCC50</t>
  </si>
  <si>
    <t>initial con</t>
  </si>
  <si>
    <t>KL*C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</si>
</sst>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821415724049722"/>
                  <c:y val="-1.45878920495988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Sheet1!$C$4:$C$8</c:f>
              <c:numCache>
                <c:formatCode>General</c:formatCode>
                <c:ptCount val="5"/>
                <c:pt idx="0">
                  <c:v>3.7799999999999999E-3</c:v>
                </c:pt>
                <c:pt idx="1">
                  <c:v>8.8400000000000006E-3</c:v>
                </c:pt>
                <c:pt idx="2">
                  <c:v>3.9280000000000002E-2</c:v>
                </c:pt>
                <c:pt idx="3">
                  <c:v>9.0980000000000005E-2</c:v>
                </c:pt>
                <c:pt idx="4">
                  <c:v>0.19325999999999999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4-412D-897E-8F211FD69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897264"/>
        <c:axId val="1796898224"/>
      </c:scatterChart>
      <c:valAx>
        <c:axId val="17968972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8224"/>
        <c:crosses val="autoZero"/>
        <c:crossBetween val="midCat"/>
      </c:valAx>
      <c:valAx>
        <c:axId val="179689822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89497720444129"/>
          <c:y val="9.4940113970020862E-2"/>
          <c:w val="0.8011067178650586"/>
          <c:h val="0.6842289314303748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Sheet1!$J$34</c:f>
              <c:strCache>
                <c:ptCount val="1"/>
                <c:pt idx="0">
                  <c:v>Ce/qe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0279411744436229E-3"/>
                  <c:y val="0.27281132790285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Sheet1!$I$35:$I$38</c:f>
              <c:numCache>
                <c:formatCode>General</c:formatCode>
                <c:ptCount val="4"/>
                <c:pt idx="0">
                  <c:v>1.3564356435643565</c:v>
                </c:pt>
                <c:pt idx="1">
                  <c:v>3.0792079207920788</c:v>
                </c:pt>
                <c:pt idx="2">
                  <c:v>5.0396039603960396</c:v>
                </c:pt>
                <c:pt idx="3">
                  <c:v>7.0396039603960396</c:v>
                </c:pt>
              </c:numCache>
            </c:numRef>
          </c:xVal>
          <c:yVal>
            <c:numRef>
              <c:f>Sheet1!$J$35:$J$38</c:f>
              <c:numCache>
                <c:formatCode>General</c:formatCode>
                <c:ptCount val="4"/>
                <c:pt idx="0">
                  <c:v>0.37228260869565222</c:v>
                </c:pt>
                <c:pt idx="1">
                  <c:v>0.44492131616595126</c:v>
                </c:pt>
                <c:pt idx="2">
                  <c:v>0.50596421471172959</c:v>
                </c:pt>
                <c:pt idx="3">
                  <c:v>0.54316271963330787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3A-4FA6-9B53-8A62648AD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850607"/>
        <c:axId val="393851087"/>
      </c:scatterChart>
      <c:valAx>
        <c:axId val="393850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51087"/>
        <c:crosses val="autoZero"/>
        <c:crossBetween val="midCat"/>
      </c:valAx>
      <c:valAx>
        <c:axId val="3938510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Ce/qe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50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Sheet1!$Q$34</c:f>
              <c:strCache>
                <c:ptCount val="1"/>
                <c:pt idx="0">
                  <c:v>lnqe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8999259793243713E-2"/>
                  <c:y val="-0.25475143111094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Sheet1!$P$35:$P$38</c:f>
              <c:numCache>
                <c:formatCode>General</c:formatCode>
                <c:ptCount val="4"/>
                <c:pt idx="0">
                  <c:v>1872347.829017268</c:v>
                </c:pt>
                <c:pt idx="1">
                  <c:v>485486.56093287183</c:v>
                </c:pt>
                <c:pt idx="2">
                  <c:v>201123.22248212859</c:v>
                </c:pt>
                <c:pt idx="3">
                  <c:v>108300.69641043375</c:v>
                </c:pt>
              </c:numCache>
            </c:numRef>
          </c:xVal>
          <c:yVal>
            <c:numRef>
              <c:f>Sheet1!$Q$35:$Q$38</c:f>
              <c:numCache>
                <c:formatCode>General</c:formatCode>
                <c:ptCount val="4"/>
                <c:pt idx="0">
                  <c:v>1.2929624213276714</c:v>
                </c:pt>
                <c:pt idx="1">
                  <c:v>1.9345302253925509</c:v>
                </c:pt>
                <c:pt idx="2">
                  <c:v>2.298616833818425</c:v>
                </c:pt>
                <c:pt idx="3">
                  <c:v>2.5618982490686406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E2-4680-9CC9-6CCAB50B8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842447"/>
        <c:axId val="393852527"/>
      </c:scatterChart>
      <c:valAx>
        <c:axId val="39384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ε2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52527"/>
        <c:crosses val="autoZero"/>
        <c:crossBetween val="midCat"/>
      </c:valAx>
      <c:valAx>
        <c:axId val="3938525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lnqe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42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Sheet1!$N$34</c:f>
              <c:strCache>
                <c:ptCount val="1"/>
                <c:pt idx="0">
                  <c:v>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234009433984748"/>
                  <c:y val="-1.51310864398062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Sheet1!$M$35:$M$38</c:f>
              <c:numCache>
                <c:formatCode>General</c:formatCode>
                <c:ptCount val="4"/>
                <c:pt idx="0">
                  <c:v>0.30486040898686556</c:v>
                </c:pt>
                <c:pt idx="1">
                  <c:v>1.1246723953379745</c:v>
                </c:pt>
                <c:pt idx="2">
                  <c:v>1.6173274997092633</c:v>
                </c:pt>
                <c:pt idx="3">
                  <c:v>1.9515519129619814</c:v>
                </c:pt>
              </c:numCache>
            </c:numRef>
          </c:xVal>
          <c:yVal>
            <c:numRef>
              <c:f>Sheet1!$N$35:$N$38</c:f>
              <c:numCache>
                <c:formatCode>General</c:formatCode>
                <c:ptCount val="4"/>
                <c:pt idx="0">
                  <c:v>3.6435643564356432</c:v>
                </c:pt>
                <c:pt idx="1">
                  <c:v>6.9207920792079216</c:v>
                </c:pt>
                <c:pt idx="2">
                  <c:v>9.9603960396039604</c:v>
                </c:pt>
                <c:pt idx="3">
                  <c:v>12.96039603960396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25-4ADB-8A13-04EAD973C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94863"/>
        <c:axId val="513094383"/>
      </c:scatterChart>
      <c:valAx>
        <c:axId val="513094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94383"/>
        <c:crosses val="autoZero"/>
        <c:crossBetween val="midCat"/>
      </c:valAx>
      <c:valAx>
        <c:axId val="5130943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9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85663757213025"/>
          <c:y val="0.16692364418813235"/>
          <c:w val="0.77570039471967134"/>
          <c:h val="0.5891569070135905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Sheet1!$G$41</c:f>
              <c:strCache>
                <c:ptCount val="1"/>
                <c:pt idx="0">
                  <c:v>logqe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039523141224954"/>
                  <c:y val="-6.47810608612149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Sheet1!$F$42:$F$45</c:f>
              <c:numCache>
                <c:formatCode>General</c:formatCode>
                <c:ptCount val="4"/>
                <c:pt idx="0">
                  <c:v>0.21316257043126374</c:v>
                </c:pt>
                <c:pt idx="1">
                  <c:v>0.54222128969548855</c:v>
                </c:pt>
                <c:pt idx="2">
                  <c:v>0.72403240823858594</c:v>
                </c:pt>
                <c:pt idx="3">
                  <c:v>0.87304997208713142</c:v>
                </c:pt>
              </c:numCache>
            </c:numRef>
          </c:xVal>
          <c:yVal>
            <c:numRef>
              <c:f>Sheet1!$G$42:$G$45</c:f>
              <c:numCache>
                <c:formatCode>General</c:formatCode>
                <c:ptCount val="4"/>
                <c:pt idx="0">
                  <c:v>0.52715754325961262</c:v>
                </c:pt>
                <c:pt idx="1">
                  <c:v>0.81390451983131296</c:v>
                </c:pt>
                <c:pt idx="2">
                  <c:v>0.98690470190985224</c:v>
                </c:pt>
                <c:pt idx="3">
                  <c:v>1.0981123318986938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9D-4029-B532-4849E0997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89103"/>
        <c:axId val="513097743"/>
      </c:scatterChart>
      <c:valAx>
        <c:axId val="513089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97743"/>
        <c:crosses val="autoZero"/>
        <c:crossBetween val="midCat"/>
      </c:valAx>
      <c:valAx>
        <c:axId val="5130977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8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67517671136034"/>
          <c:y val="9.4019925561389647E-2"/>
          <c:w val="0.76763436783279582"/>
          <c:h val="0.6972402930904609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Sheet1!$J$41</c:f>
              <c:strCache>
                <c:ptCount val="1"/>
                <c:pt idx="0">
                  <c:v>Ce/qe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441412450824762"/>
                  <c:y val="0.284495575077699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Sheet1!$I$42:$I$45</c:f>
              <c:numCache>
                <c:formatCode>General</c:formatCode>
                <c:ptCount val="4"/>
                <c:pt idx="0">
                  <c:v>1.6336633663366338</c:v>
                </c:pt>
                <c:pt idx="1">
                  <c:v>3.4851485148514856</c:v>
                </c:pt>
                <c:pt idx="2">
                  <c:v>5.2970297029702973</c:v>
                </c:pt>
                <c:pt idx="3">
                  <c:v>7.4653465346534649</c:v>
                </c:pt>
              </c:numCache>
            </c:numRef>
          </c:xVal>
          <c:yVal>
            <c:numRef>
              <c:f>Sheet1!$J$42:$J$45</c:f>
              <c:numCache>
                <c:formatCode>General</c:formatCode>
                <c:ptCount val="4"/>
                <c:pt idx="0">
                  <c:v>0.48529411764705882</c:v>
                </c:pt>
                <c:pt idx="1">
                  <c:v>0.5349544072948329</c:v>
                </c:pt>
                <c:pt idx="2">
                  <c:v>0.54591836734693877</c:v>
                </c:pt>
                <c:pt idx="3">
                  <c:v>0.59557661927330163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39-4D0F-AED9-780A8DDC5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70383"/>
        <c:axId val="513071343"/>
      </c:scatterChart>
      <c:valAx>
        <c:axId val="513070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71343"/>
        <c:crosses val="autoZero"/>
        <c:crossBetween val="midCat"/>
      </c:valAx>
      <c:valAx>
        <c:axId val="5130713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Ce/qe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70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06230133291783"/>
          <c:y val="4.4880554115817747E-2"/>
          <c:w val="0.81365333037355991"/>
          <c:h val="0.7237187642337715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Sheet1!$N$41</c:f>
              <c:strCache>
                <c:ptCount val="1"/>
                <c:pt idx="0">
                  <c:v>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475718592902853"/>
                  <c:y val="2.54268168182317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Sheet1!$M$42:$M$45</c:f>
              <c:numCache>
                <c:formatCode>General</c:formatCode>
                <c:ptCount val="4"/>
                <c:pt idx="0">
                  <c:v>0.49082495705932122</c:v>
                </c:pt>
                <c:pt idx="1">
                  <c:v>1.2485106587568378</c:v>
                </c:pt>
                <c:pt idx="2">
                  <c:v>1.667146230054747</c:v>
                </c:pt>
                <c:pt idx="3">
                  <c:v>2.0102718511666966</c:v>
                </c:pt>
              </c:numCache>
            </c:numRef>
          </c:xVal>
          <c:yVal>
            <c:numRef>
              <c:f>Sheet1!$N$42:$N$45</c:f>
              <c:numCache>
                <c:formatCode>General</c:formatCode>
                <c:ptCount val="4"/>
                <c:pt idx="0">
                  <c:v>3.3663366336633667</c:v>
                </c:pt>
                <c:pt idx="1">
                  <c:v>6.5148514851485153</c:v>
                </c:pt>
                <c:pt idx="2">
                  <c:v>9.7029702970297027</c:v>
                </c:pt>
                <c:pt idx="3">
                  <c:v>12.534653465346535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BC-4AB5-8BFC-54FD891F7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111183"/>
        <c:axId val="513115023"/>
      </c:scatterChart>
      <c:valAx>
        <c:axId val="513111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15023"/>
        <c:crosses val="autoZero"/>
        <c:crossBetween val="midCat"/>
      </c:valAx>
      <c:valAx>
        <c:axId val="5131150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11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Sheet1!$Q$41</c:f>
              <c:strCache>
                <c:ptCount val="1"/>
                <c:pt idx="0">
                  <c:v>lnqe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5686231543049551E-2"/>
                  <c:y val="-0.328169840803991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Sheet1!$P$42:$P$45</c:f>
              <c:numCache>
                <c:formatCode>General</c:formatCode>
                <c:ptCount val="4"/>
                <c:pt idx="0">
                  <c:v>1399883.1491146658</c:v>
                </c:pt>
                <c:pt idx="1">
                  <c:v>390618.33268885373</c:v>
                </c:pt>
                <c:pt idx="2">
                  <c:v>183570.28196415622</c:v>
                </c:pt>
                <c:pt idx="3">
                  <c:v>97003.188358126819</c:v>
                </c:pt>
              </c:numCache>
            </c:numRef>
          </c:xVal>
          <c:yVal>
            <c:numRef>
              <c:f>Sheet1!$Q$42:$Q$45</c:f>
              <c:numCache>
                <c:formatCode>General</c:formatCode>
                <c:ptCount val="4"/>
                <c:pt idx="0">
                  <c:v>1.2138251007689478</c:v>
                </c:pt>
                <c:pt idx="1">
                  <c:v>1.8740844144840578</c:v>
                </c:pt>
                <c:pt idx="2">
                  <c:v>2.2724320548233581</c:v>
                </c:pt>
                <c:pt idx="3">
                  <c:v>2.5284970858628619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01-493E-A710-807DEE2F8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993103"/>
        <c:axId val="513005103"/>
      </c:scatterChart>
      <c:valAx>
        <c:axId val="512993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ε2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05103"/>
        <c:crosses val="autoZero"/>
        <c:crossBetween val="midCat"/>
      </c:valAx>
      <c:valAx>
        <c:axId val="5130051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lnqe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99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Sheet1!$G$48</c:f>
              <c:strCache>
                <c:ptCount val="1"/>
                <c:pt idx="0">
                  <c:v>logqe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298114916279957"/>
                  <c:y val="2.32252119644647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Sheet1!$F$49:$F$52</c:f>
              <c:numCache>
                <c:formatCode>General</c:formatCode>
                <c:ptCount val="4"/>
                <c:pt idx="0">
                  <c:v>4.1001605004014806E-2</c:v>
                </c:pt>
                <c:pt idx="1">
                  <c:v>0.46989489029361264</c:v>
                </c:pt>
                <c:pt idx="2">
                  <c:v>0.70324880231529374</c:v>
                </c:pt>
                <c:pt idx="3">
                  <c:v>0.8444833272691612</c:v>
                </c:pt>
              </c:numCache>
            </c:numRef>
          </c:xVal>
          <c:yVal>
            <c:numRef>
              <c:f>Sheet1!$G$49:$G$52</c:f>
              <c:numCache>
                <c:formatCode>General</c:formatCode>
                <c:ptCount val="4"/>
                <c:pt idx="0">
                  <c:v>0.59117484804293152</c:v>
                </c:pt>
                <c:pt idx="1">
                  <c:v>0.84815861985421381</c:v>
                </c:pt>
                <c:pt idx="2">
                  <c:v>0.99784468797386516</c:v>
                </c:pt>
                <c:pt idx="3">
                  <c:v>1.1142739914411195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B1-4EE2-B1D5-045832079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990223"/>
        <c:axId val="512994063"/>
      </c:scatterChart>
      <c:valAx>
        <c:axId val="512990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logCe</a:t>
                </a:r>
              </a:p>
            </c:rich>
          </c:tx>
          <c:layout>
            <c:manualLayout>
              <c:xMode val="edge"/>
              <c:yMode val="edge"/>
              <c:x val="0.49736227349270123"/>
              <c:y val="0.881439599198551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994063"/>
        <c:crosses val="autoZero"/>
        <c:crossBetween val="midCat"/>
      </c:valAx>
      <c:valAx>
        <c:axId val="5129940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990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00232861404995"/>
          <c:y val="9.2115872060678658E-2"/>
          <c:w val="0.82188729541206651"/>
          <c:h val="0.6939614085489559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Sheet1!$J$48</c:f>
              <c:strCache>
                <c:ptCount val="1"/>
                <c:pt idx="0">
                  <c:v>Ce/qe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625540042054906"/>
                  <c:y val="0.271570423401825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Sheet1!$I$49:$I$52</c:f>
              <c:numCache>
                <c:formatCode>General</c:formatCode>
                <c:ptCount val="4"/>
                <c:pt idx="0">
                  <c:v>1.0990099009900989</c:v>
                </c:pt>
                <c:pt idx="1">
                  <c:v>2.9504950495049505</c:v>
                </c:pt>
                <c:pt idx="2">
                  <c:v>5.0495049504950495</c:v>
                </c:pt>
                <c:pt idx="3">
                  <c:v>6.9900990099009901</c:v>
                </c:pt>
              </c:numCache>
            </c:numRef>
          </c:xVal>
          <c:yVal>
            <c:numRef>
              <c:f>Sheet1!$J$49:$J$52</c:f>
              <c:numCache>
                <c:formatCode>General</c:formatCode>
                <c:ptCount val="4"/>
                <c:pt idx="0">
                  <c:v>0.28172588832487305</c:v>
                </c:pt>
                <c:pt idx="1">
                  <c:v>0.41853932584269654</c:v>
                </c:pt>
                <c:pt idx="2">
                  <c:v>0.50746268656716409</c:v>
                </c:pt>
                <c:pt idx="3">
                  <c:v>0.53729071537290707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BB-4899-AB10-428170215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63183"/>
        <c:axId val="513051183"/>
      </c:scatterChart>
      <c:valAx>
        <c:axId val="513063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51183"/>
        <c:crosses val="autoZero"/>
        <c:crossBetween val="midCat"/>
      </c:valAx>
      <c:valAx>
        <c:axId val="513051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Ce/qe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63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Sheet1!$N$48</c:f>
              <c:strCache>
                <c:ptCount val="1"/>
                <c:pt idx="0">
                  <c:v>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523226505619963"/>
                  <c:y val="-6.47663579437675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Sheet1!$M$49:$M$52</c:f>
              <c:numCache>
                <c:formatCode>General</c:formatCode>
                <c:ptCount val="4"/>
                <c:pt idx="0">
                  <c:v>9.4409684471074562E-2</c:v>
                </c:pt>
                <c:pt idx="1">
                  <c:v>1.0819729696641449</c:v>
                </c:pt>
                <c:pt idx="2">
                  <c:v>1.6192902088771119</c:v>
                </c:pt>
                <c:pt idx="3">
                  <c:v>1.9444947206519827</c:v>
                </c:pt>
              </c:numCache>
            </c:numRef>
          </c:xVal>
          <c:yVal>
            <c:numRef>
              <c:f>Sheet1!$N$49:$N$52</c:f>
              <c:numCache>
                <c:formatCode>General</c:formatCode>
                <c:ptCount val="4"/>
                <c:pt idx="0">
                  <c:v>3.9009900990099009</c:v>
                </c:pt>
                <c:pt idx="1">
                  <c:v>7.0495049504950504</c:v>
                </c:pt>
                <c:pt idx="2">
                  <c:v>9.9504950495049513</c:v>
                </c:pt>
                <c:pt idx="3">
                  <c:v>13.009900990099011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81-4DC8-87B0-9EFEE95E6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73743"/>
        <c:axId val="513074223"/>
      </c:scatterChart>
      <c:valAx>
        <c:axId val="513073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74223"/>
        <c:crosses val="autoZero"/>
        <c:crossBetween val="midCat"/>
      </c:valAx>
      <c:valAx>
        <c:axId val="5130742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73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Sheet1!$Q$48</c:f>
              <c:strCache>
                <c:ptCount val="1"/>
                <c:pt idx="0">
                  <c:v>lnqe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0925443730441224E-2"/>
                  <c:y val="-0.258166479709341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Sheet1!$P$49:$P$52</c:f>
              <c:numCache>
                <c:formatCode>General</c:formatCode>
                <c:ptCount val="4"/>
                <c:pt idx="0">
                  <c:v>1399883.1491146658</c:v>
                </c:pt>
                <c:pt idx="1">
                  <c:v>390618.33268885373</c:v>
                </c:pt>
                <c:pt idx="2">
                  <c:v>183570.28196415622</c:v>
                </c:pt>
                <c:pt idx="3">
                  <c:v>97003.188358126819</c:v>
                </c:pt>
              </c:numCache>
            </c:numRef>
          </c:xVal>
          <c:yVal>
            <c:numRef>
              <c:f>Sheet1!$Q$49:$Q$52</c:f>
              <c:numCache>
                <c:formatCode>General</c:formatCode>
                <c:ptCount val="4"/>
                <c:pt idx="0">
                  <c:v>1.3612303924566744</c:v>
                </c:pt>
                <c:pt idx="1">
                  <c:v>1.9529573945707164</c:v>
                </c:pt>
                <c:pt idx="2">
                  <c:v>2.2976223036519166</c:v>
                </c:pt>
                <c:pt idx="3">
                  <c:v>2.5657106822032962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AD-48F9-923B-A512001D012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Sheet1!$P$49:$P$52</c:f>
              <c:numCache>
                <c:formatCode>General</c:formatCode>
                <c:ptCount val="4"/>
                <c:pt idx="0">
                  <c:v>1399883.1491146658</c:v>
                </c:pt>
                <c:pt idx="1">
                  <c:v>390618.33268885373</c:v>
                </c:pt>
                <c:pt idx="2">
                  <c:v>183570.28196415622</c:v>
                </c:pt>
                <c:pt idx="3">
                  <c:v>97003.188358126819</c:v>
                </c:pt>
              </c:numCache>
            </c:numRef>
          </c:xVal>
          <c:yVal>
            <c:numRef>
              <c:f>Sheet1!$Q$34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62-4D02-94DC-3C9B69175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33903"/>
        <c:axId val="513020463"/>
      </c:scatterChart>
      <c:valAx>
        <c:axId val="513033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ε2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20463"/>
        <c:crosses val="autoZero"/>
        <c:crossBetween val="midCat"/>
      </c:valAx>
      <c:valAx>
        <c:axId val="5130204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lnqe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33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Sheet1!$G$34</c:f>
              <c:strCache>
                <c:ptCount val="1"/>
                <c:pt idx="0">
                  <c:v>logqe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038867016622925"/>
                  <c:y val="-5.48235637212015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Sheet1!$F$35:$F$38</c:f>
              <c:numCache>
                <c:formatCode>General</c:formatCode>
                <c:ptCount val="4"/>
                <c:pt idx="0">
                  <c:v>0.13239919337376421</c:v>
                </c:pt>
                <c:pt idx="1">
                  <c:v>0.48843901524419486</c:v>
                </c:pt>
                <c:pt idx="2">
                  <c:v>0.70239640855411622</c:v>
                </c:pt>
                <c:pt idx="3">
                  <c:v>0.84754822694712373</c:v>
                </c:pt>
              </c:numCache>
            </c:numRef>
          </c:xVal>
          <c:yVal>
            <c:numRef>
              <c:f>Sheet1!$G$35:$G$38</c:f>
              <c:numCache>
                <c:formatCode>General</c:formatCode>
                <c:ptCount val="4"/>
                <c:pt idx="0">
                  <c:v>0.561526444890875</c:v>
                </c:pt>
                <c:pt idx="1">
                  <c:v>0.84015580196303885</c:v>
                </c:pt>
                <c:pt idx="2">
                  <c:v>0.99827660693726605</c:v>
                </c:pt>
                <c:pt idx="3">
                  <c:v>1.1126182727681133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2E-4984-8765-EBE9889FF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886224"/>
        <c:axId val="2118876144"/>
      </c:scatterChart>
      <c:valAx>
        <c:axId val="2118886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876144"/>
        <c:crosses val="autoZero"/>
        <c:crossBetween val="midCat"/>
      </c:valAx>
      <c:valAx>
        <c:axId val="2118876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88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78937007874017"/>
          <c:y val="5.0925925925925923E-2"/>
          <c:w val="0.72679374453193346"/>
          <c:h val="0.7897995042286380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Sheet1!$E$61</c:f>
              <c:strCache>
                <c:ptCount val="1"/>
                <c:pt idx="0">
                  <c:v>GO-CS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Sheet1!$D$62:$D$65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Sheet1!$E$62:$E$65</c:f>
              <c:numCache>
                <c:formatCode>General</c:formatCode>
                <c:ptCount val="4"/>
                <c:pt idx="0">
                  <c:v>0.83821242817567265</c:v>
                </c:pt>
                <c:pt idx="1">
                  <c:v>0.72148510494000861</c:v>
                </c:pt>
                <c:pt idx="2">
                  <c:v>0.63329417464353455</c:v>
                </c:pt>
                <c:pt idx="3">
                  <c:v>0.56431497804814734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84-4985-8C16-BF1F97F59AB9}"/>
            </c:ext>
          </c:extLst>
        </c:ser>
        <c:ser>
          <c:idx val="1"/>
          <c:order val="1"/>
          <c:tx>
            <c:strRef>
              <c:f>Sheet1!$F$61</c:f>
              <c:strCache>
                <c:ptCount val="1"/>
                <c:pt idx="0">
                  <c:v>GO-MCC-50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Sheet1!$D$62:$D$65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Sheet1!$F$62:$F$65</c:f>
              <c:numCache>
                <c:formatCode>General</c:formatCode>
                <c:ptCount val="4"/>
                <c:pt idx="0">
                  <c:v>0.69555540098768864</c:v>
                </c:pt>
                <c:pt idx="1">
                  <c:v>0.53321957982297108</c:v>
                </c:pt>
                <c:pt idx="2">
                  <c:v>0.43232026285071973</c:v>
                </c:pt>
                <c:pt idx="3">
                  <c:v>0.36353060927730119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84-4985-8C16-BF1F97F59AB9}"/>
            </c:ext>
          </c:extLst>
        </c:ser>
        <c:ser>
          <c:idx val="2"/>
          <c:order val="2"/>
          <c:tx>
            <c:strRef>
              <c:f>Sheet1!$G$61</c:f>
              <c:strCache>
                <c:ptCount val="1"/>
                <c:pt idx="0">
                  <c:v>GO-MCC90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Sheet1!$D$62:$D$65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Sheet1!$G$62:$G$65</c:f>
              <c:numCache>
                <c:formatCode>General</c:formatCode>
                <c:ptCount val="4"/>
                <c:pt idx="0">
                  <c:v>0.54929964295523204</c:v>
                </c:pt>
                <c:pt idx="1">
                  <c:v>0.37864445285876563</c:v>
                </c:pt>
                <c:pt idx="2">
                  <c:v>0.28889209880109779</c:v>
                </c:pt>
                <c:pt idx="3">
                  <c:v>0.23353573096683791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84-4985-8C16-BF1F97F59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42096"/>
        <c:axId val="148325776"/>
      </c:scatterChart>
      <c:valAx>
        <c:axId val="14834209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25776"/>
        <c:crosses val="autoZero"/>
        <c:crossBetween val="midCat"/>
      </c:valAx>
      <c:valAx>
        <c:axId val="148325776"/>
        <c:scaling>
          <c:orientation val="minMax"/>
          <c:max val="0.85000000000000009"/>
          <c:min val="0.15000000000000002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4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365685951778"/>
          <c:y val="3.4786759429474109E-2"/>
          <c:w val="0.8036897129776599"/>
          <c:h val="0.7371629377935421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Sheet1!$Y$7</c:f>
              <c:strCache>
                <c:ptCount val="1"/>
                <c:pt idx="0">
                  <c:v>GO-CS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C4FF-47E1-A9A6-FA12AB0A9378}"/>
              </c:ext>
            </c:extLst>
          </c:dPt>
          <c:xVal>
            <c:numRef>
              <c:f>Sheet1!$X$8:$X$11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Sheet1!$Y$8:$Y$11</c:f>
              <c:numCache>
                <c:formatCode>General</c:formatCode>
                <c:ptCount val="4"/>
                <c:pt idx="0">
                  <c:v>67.32673267326733</c:v>
                </c:pt>
                <c:pt idx="1">
                  <c:v>65.148514851485146</c:v>
                </c:pt>
                <c:pt idx="2">
                  <c:v>64.686468646864682</c:v>
                </c:pt>
                <c:pt idx="3">
                  <c:v>62.67326732673267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54-4DFD-B2B8-B506E44DEA4D}"/>
            </c:ext>
          </c:extLst>
        </c:ser>
        <c:ser>
          <c:idx val="1"/>
          <c:order val="1"/>
          <c:tx>
            <c:strRef>
              <c:f>Sheet1!$Z$7</c:f>
              <c:strCache>
                <c:ptCount val="1"/>
                <c:pt idx="0">
                  <c:v>GO-MCC-50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Sheet1!$X$8:$X$11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Sheet1!$Z$8:$Z$11</c:f>
              <c:numCache>
                <c:formatCode>General</c:formatCode>
                <c:ptCount val="4"/>
                <c:pt idx="0">
                  <c:v>72.871287128712865</c:v>
                </c:pt>
                <c:pt idx="1">
                  <c:v>69.207920792079207</c:v>
                </c:pt>
                <c:pt idx="2">
                  <c:v>66.402640264026402</c:v>
                </c:pt>
                <c:pt idx="3">
                  <c:v>64.801980198019805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54-4DFD-B2B8-B506E44DEA4D}"/>
            </c:ext>
          </c:extLst>
        </c:ser>
        <c:ser>
          <c:idx val="2"/>
          <c:order val="2"/>
          <c:tx>
            <c:strRef>
              <c:f>Sheet1!$AA$7</c:f>
              <c:strCache>
                <c:ptCount val="1"/>
                <c:pt idx="0">
                  <c:v>GO-MCC90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Sheet1!$X$8:$X$11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Sheet1!$AA$8:$AA$11</c:f>
              <c:numCache>
                <c:formatCode>General</c:formatCode>
                <c:ptCount val="4"/>
                <c:pt idx="0">
                  <c:v>78.019801980198025</c:v>
                </c:pt>
                <c:pt idx="1">
                  <c:v>70.495049504950501</c:v>
                </c:pt>
                <c:pt idx="2">
                  <c:v>66.336633663366342</c:v>
                </c:pt>
                <c:pt idx="3">
                  <c:v>65.049504950495049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54-4DFD-B2B8-B506E44DE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533696"/>
        <c:axId val="1242534176"/>
      </c:scatterChart>
      <c:valAx>
        <c:axId val="1242533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</a:t>
                </a:r>
                <a:r>
                  <a:rPr lang="en-US" sz="2400" b="1" baseline="-2500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 </a:t>
                </a:r>
                <a:r>
                  <a:rPr lang="en-GB" sz="2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2534176"/>
        <c:crosses val="autoZero"/>
        <c:crossBetween val="midCat"/>
      </c:valAx>
      <c:valAx>
        <c:axId val="1242534176"/>
        <c:scaling>
          <c:orientation val="minMax"/>
          <c:min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Adsorption (%)</a:t>
                </a:r>
              </a:p>
            </c:rich>
          </c:tx>
          <c:layout>
            <c:manualLayout>
              <c:xMode val="edge"/>
              <c:yMode val="edge"/>
              <c:x val="9.2737147333209462E-4"/>
              <c:y val="8.906261206846904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2533696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71714257467263343"/>
          <c:y val="6.6473848541197547E-2"/>
          <c:w val="0.23446354760779142"/>
          <c:h val="0.24366997452740141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0</xdr:row>
      <xdr:rowOff>64770</xdr:rowOff>
    </xdr:from>
    <xdr:to>
      <xdr:col>12</xdr:col>
      <xdr:colOff>335280</xdr:colOff>
      <xdr:row>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5B170-193D-A945-ECEB-CC45DA6F3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439875</xdr:colOff>
      <xdr:row>29</xdr:row>
      <xdr:rowOff>21937</xdr:rowOff>
    </xdr:from>
    <xdr:to>
      <xdr:col>33</xdr:col>
      <xdr:colOff>512579</xdr:colOff>
      <xdr:row>42</xdr:row>
      <xdr:rowOff>184769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49D3C8E-21C1-A81E-296B-FC027F800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404255</xdr:colOff>
      <xdr:row>29</xdr:row>
      <xdr:rowOff>28745</xdr:rowOff>
    </xdr:from>
    <xdr:to>
      <xdr:col>48</xdr:col>
      <xdr:colOff>483138</xdr:colOff>
      <xdr:row>42</xdr:row>
      <xdr:rowOff>102810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815BE01-EF9D-839B-4295-A949FB8A4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406832</xdr:colOff>
      <xdr:row>29</xdr:row>
      <xdr:rowOff>52123</xdr:rowOff>
    </xdr:from>
    <xdr:to>
      <xdr:col>41</xdr:col>
      <xdr:colOff>319786</xdr:colOff>
      <xdr:row>42</xdr:row>
      <xdr:rowOff>168664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482A74F-5190-FD77-B8D1-BD5C66090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463627</xdr:colOff>
      <xdr:row>43</xdr:row>
      <xdr:rowOff>77131</xdr:rowOff>
    </xdr:from>
    <xdr:to>
      <xdr:col>25</xdr:col>
      <xdr:colOff>501601</xdr:colOff>
      <xdr:row>58</xdr:row>
      <xdr:rowOff>80682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82E9115-E52D-7E21-0BD3-9B1BDB286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337869</xdr:colOff>
      <xdr:row>45</xdr:row>
      <xdr:rowOff>8626</xdr:rowOff>
    </xdr:from>
    <xdr:to>
      <xdr:col>34</xdr:col>
      <xdr:colOff>79076</xdr:colOff>
      <xdr:row>59</xdr:row>
      <xdr:rowOff>135147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EC6823A-67DD-1EB7-5F4F-ACDAF4A75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34</xdr:col>
      <xdr:colOff>251604</xdr:colOff>
      <xdr:row>45</xdr:row>
      <xdr:rowOff>159475</xdr:rowOff>
    </xdr:from>
    <xdr:to>
      <xdr:col>41</xdr:col>
      <xdr:colOff>186906</xdr:colOff>
      <xdr:row>59</xdr:row>
      <xdr:rowOff>179604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654E3E5-7B33-BC09-A3B8-7FB6468BA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41</xdr:col>
      <xdr:colOff>504825</xdr:colOff>
      <xdr:row>44</xdr:row>
      <xdr:rowOff>95250</xdr:rowOff>
    </xdr:from>
    <xdr:to>
      <xdr:col>48</xdr:col>
      <xdr:colOff>400050</xdr:colOff>
      <xdr:row>58</xdr:row>
      <xdr:rowOff>114300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F685320-4A09-763D-2D1C-7B9844C08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323967</xdr:colOff>
      <xdr:row>61</xdr:row>
      <xdr:rowOff>142523</xdr:rowOff>
    </xdr:from>
    <xdr:to>
      <xdr:col>26</xdr:col>
      <xdr:colOff>19167</xdr:colOff>
      <xdr:row>76</xdr:row>
      <xdr:rowOff>28223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BD8D53B-A1EF-8D15-3A47-112C9EE69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355208</xdr:colOff>
      <xdr:row>62</xdr:row>
      <xdr:rowOff>28682</xdr:rowOff>
    </xdr:from>
    <xdr:to>
      <xdr:col>34</xdr:col>
      <xdr:colOff>52120</xdr:colOff>
      <xdr:row>76</xdr:row>
      <xdr:rowOff>94180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113930F-9E83-3AB0-0D37-BE89CE8E2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34</xdr:col>
      <xdr:colOff>331023</xdr:colOff>
      <xdr:row>62</xdr:row>
      <xdr:rowOff>67263</xdr:rowOff>
    </xdr:from>
    <xdr:to>
      <xdr:col>42</xdr:col>
      <xdr:colOff>24342</xdr:colOff>
      <xdr:row>76</xdr:row>
      <xdr:rowOff>131704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EF6A168-81DE-4187-011F-1E78BAF3F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42</xdr:col>
      <xdr:colOff>295275</xdr:colOff>
      <xdr:row>62</xdr:row>
      <xdr:rowOff>19050</xdr:rowOff>
    </xdr:from>
    <xdr:to>
      <xdr:col>49</xdr:col>
      <xdr:colOff>410309</xdr:colOff>
      <xdr:row>74</xdr:row>
      <xdr:rowOff>105508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5EEEBE2-1AE3-8501-FB01-BCB6DDC76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18</xdr:col>
      <xdr:colOff>516272</xdr:colOff>
      <xdr:row>27</xdr:row>
      <xdr:rowOff>27023</xdr:rowOff>
    </xdr:from>
    <xdr:to>
      <xdr:col>26</xdr:col>
      <xdr:colOff>357620</xdr:colOff>
      <xdr:row>42</xdr:row>
      <xdr:rowOff>138782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6D5B07-E63F-5954-3760-A38D63AA3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508002</xdr:colOff>
      <xdr:row>66</xdr:row>
      <xdr:rowOff>34807</xdr:rowOff>
    </xdr:from>
    <xdr:to>
      <xdr:col>11</xdr:col>
      <xdr:colOff>188150</xdr:colOff>
      <xdr:row>81</xdr:row>
      <xdr:rowOff>96896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A8956CF-92CB-92D8-F620-1AE4ECE81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27</xdr:col>
      <xdr:colOff>442633</xdr:colOff>
      <xdr:row>5</xdr:row>
      <xdr:rowOff>101973</xdr:rowOff>
    </xdr:from>
    <xdr:to>
      <xdr:col>35</xdr:col>
      <xdr:colOff>168088</xdr:colOff>
      <xdr:row>20</xdr:row>
      <xdr:rowOff>161365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F5E884-1274-907A-A811-F5BB79517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D640-4E67-4AAE-B24D-1DF2DF96AF4A}">
  <dimension ref="A3:BB78"/>
  <sheetViews>
    <sheetView tabSelected="1" topLeftCell="X6" zoomScale="165" zoomScaleNormal="165" workbookViewId="0">
      <selection activeCell="Y17" sqref="Y17"/>
    </sheetView>
  </sheetViews>
  <sheetFormatPr defaultRowHeight="14.4" x14ac:dyDescent="0.3"/>
  <sheetData>
    <row r="3" spans="1:27" x14ac:dyDescent="0.3">
      <c r="B3" t="s">
        <v>9</v>
      </c>
      <c r="C3" t="s">
        <v>4</v>
      </c>
    </row>
    <row r="4" spans="1:27" x14ac:dyDescent="0.3">
      <c r="B4">
        <v>1</v>
      </c>
      <c r="C4">
        <v>3.7799999999999999E-3</v>
      </c>
    </row>
    <row r="5" spans="1:27" x14ac:dyDescent="0.3">
      <c r="B5">
        <v>2</v>
      </c>
      <c r="C5">
        <v>8.8400000000000006E-3</v>
      </c>
    </row>
    <row r="6" spans="1:27" x14ac:dyDescent="0.3">
      <c r="B6">
        <v>5</v>
      </c>
      <c r="C6">
        <v>3.9280000000000002E-2</v>
      </c>
    </row>
    <row r="7" spans="1:27" x14ac:dyDescent="0.3">
      <c r="B7">
        <v>10</v>
      </c>
      <c r="C7">
        <v>9.0980000000000005E-2</v>
      </c>
      <c r="Y7" t="s">
        <v>21</v>
      </c>
      <c r="Z7" t="s">
        <v>22</v>
      </c>
      <c r="AA7" t="s">
        <v>11</v>
      </c>
    </row>
    <row r="8" spans="1:27" x14ac:dyDescent="0.3">
      <c r="B8">
        <v>20</v>
      </c>
      <c r="C8">
        <v>0.19325999999999999</v>
      </c>
      <c r="X8">
        <v>5</v>
      </c>
      <c r="Y8">
        <v>67.32673267326733</v>
      </c>
      <c r="Z8">
        <v>72.871287128712865</v>
      </c>
      <c r="AA8">
        <v>78.019801980198025</v>
      </c>
    </row>
    <row r="9" spans="1:27" x14ac:dyDescent="0.3">
      <c r="X9">
        <v>10</v>
      </c>
      <c r="Y9">
        <v>65.148514851485146</v>
      </c>
      <c r="Z9">
        <v>69.207920792079207</v>
      </c>
      <c r="AA9">
        <v>70.495049504950501</v>
      </c>
    </row>
    <row r="10" spans="1:27" x14ac:dyDescent="0.3">
      <c r="X10">
        <v>15</v>
      </c>
      <c r="Y10">
        <v>64.686468646864682</v>
      </c>
      <c r="Z10">
        <v>66.402640264026402</v>
      </c>
      <c r="AA10">
        <v>66.336633663366342</v>
      </c>
    </row>
    <row r="11" spans="1:27" x14ac:dyDescent="0.3">
      <c r="X11">
        <v>20</v>
      </c>
      <c r="Y11">
        <v>62.67326732673267</v>
      </c>
      <c r="Z11">
        <v>64.801980198019805</v>
      </c>
      <c r="AA11">
        <v>65.049504950495049</v>
      </c>
    </row>
    <row r="12" spans="1:27" x14ac:dyDescent="0.3">
      <c r="A12" t="s">
        <v>11</v>
      </c>
      <c r="H12" t="s">
        <v>17</v>
      </c>
      <c r="T12">
        <f>((0.13368-0.0298)/0.13368)*100</f>
        <v>77.707959305804906</v>
      </c>
    </row>
    <row r="13" spans="1:27" x14ac:dyDescent="0.3">
      <c r="B13" t="s">
        <v>10</v>
      </c>
      <c r="C13" t="s">
        <v>4</v>
      </c>
      <c r="D13" t="s">
        <v>5</v>
      </c>
      <c r="E13" t="s">
        <v>6</v>
      </c>
      <c r="F13" t="s">
        <v>7</v>
      </c>
      <c r="G13" t="s">
        <v>8</v>
      </c>
      <c r="H13" t="s">
        <v>13</v>
      </c>
      <c r="I13" t="s">
        <v>12</v>
      </c>
      <c r="J13" t="s">
        <v>25</v>
      </c>
      <c r="K13" t="s">
        <v>24</v>
      </c>
      <c r="L13" t="s">
        <v>26</v>
      </c>
      <c r="M13" t="s">
        <v>14</v>
      </c>
      <c r="N13" t="s">
        <v>27</v>
      </c>
      <c r="O13" t="s">
        <v>28</v>
      </c>
      <c r="P13" t="s">
        <v>29</v>
      </c>
      <c r="Q13" t="s">
        <v>15</v>
      </c>
      <c r="R13" t="s">
        <v>16</v>
      </c>
      <c r="T13">
        <f>((0.13368-0.0605)/0.13368)*100</f>
        <v>54.74266906044285</v>
      </c>
    </row>
    <row r="14" spans="1:27" x14ac:dyDescent="0.3">
      <c r="B14" t="s">
        <v>0</v>
      </c>
      <c r="C14">
        <v>1.5E-3</v>
      </c>
      <c r="D14">
        <v>5</v>
      </c>
      <c r="E14">
        <f>(C14+0.0096)/0.0101</f>
        <v>1.0990099009900989</v>
      </c>
      <c r="F14">
        <f>D14-E14</f>
        <v>3.9009900990099009</v>
      </c>
      <c r="G14">
        <f>(F14*100)/D14</f>
        <v>78.019801980198025</v>
      </c>
      <c r="H14">
        <f>((D14-E14)*0.01)/0.01</f>
        <v>3.9009900990099009</v>
      </c>
      <c r="I14">
        <f>LOG(H14)</f>
        <v>0.59117484804293152</v>
      </c>
      <c r="J14">
        <f>LOG(E14)</f>
        <v>4.1001605004014806E-2</v>
      </c>
      <c r="K14">
        <f>E14/H14</f>
        <v>0.28172588832487305</v>
      </c>
      <c r="L14">
        <f>LN(E14)</f>
        <v>9.4409684471074562E-2</v>
      </c>
      <c r="M14">
        <f>LN(H14)</f>
        <v>1.3612303924566744</v>
      </c>
      <c r="N14">
        <f>1/E14</f>
        <v>0.90990990990991005</v>
      </c>
      <c r="O14">
        <f>1+N14</f>
        <v>1.9099099099099099</v>
      </c>
      <c r="P14">
        <f>LN(O14)</f>
        <v>0.6470560733596783</v>
      </c>
      <c r="Q14">
        <f>8.314*298*P14</f>
        <v>1603.1280097858848</v>
      </c>
      <c r="R14">
        <f>Q14*Q14</f>
        <v>2570019.4157600519</v>
      </c>
      <c r="T14">
        <f t="shared" ref="T14:T16" si="0">((0.13368-0.0298)/0.13368)*100</f>
        <v>77.707959305804906</v>
      </c>
    </row>
    <row r="15" spans="1:27" x14ac:dyDescent="0.3">
      <c r="B15" t="s">
        <v>1</v>
      </c>
      <c r="C15">
        <v>2.0199999999999999E-2</v>
      </c>
      <c r="D15">
        <v>10</v>
      </c>
      <c r="E15">
        <f t="shared" ref="E15:E28" si="1">(C15+0.0096)/0.0101</f>
        <v>2.9504950495049505</v>
      </c>
      <c r="F15">
        <f t="shared" ref="F15:F31" si="2">D15-E15</f>
        <v>7.0495049504950495</v>
      </c>
      <c r="G15">
        <f t="shared" ref="G15:G17" si="3">(F15*100)/D15</f>
        <v>70.495049504950501</v>
      </c>
      <c r="H15">
        <f t="shared" ref="H15:H30" si="4">((D15-E15)*0.01)/0.01</f>
        <v>7.0495049504950504</v>
      </c>
      <c r="I15">
        <f>LOG(H15)</f>
        <v>0.84815861985421381</v>
      </c>
      <c r="J15">
        <f t="shared" ref="J15:J31" si="5">LOG(E15)</f>
        <v>0.46989489029361264</v>
      </c>
      <c r="K15">
        <f t="shared" ref="K15:K31" si="6">E15/H15</f>
        <v>0.41853932584269654</v>
      </c>
      <c r="L15">
        <f t="shared" ref="L15:L31" si="7">LN(E15)</f>
        <v>1.0819729696641449</v>
      </c>
      <c r="M15">
        <f t="shared" ref="M15:M31" si="8">LN(H15)</f>
        <v>1.9529573945707164</v>
      </c>
      <c r="N15">
        <f t="shared" ref="N15:N31" si="9">1/E15</f>
        <v>0.33892617449664431</v>
      </c>
      <c r="O15">
        <f t="shared" ref="O15:O31" si="10">1+N15</f>
        <v>1.3389261744966443</v>
      </c>
      <c r="P15">
        <f t="shared" ref="P15:P31" si="11">LN(O15)</f>
        <v>0.29186793038445902</v>
      </c>
      <c r="Q15">
        <f t="shared" ref="Q15:Q31" si="12">8.314*298*P15</f>
        <v>723.12381201848495</v>
      </c>
      <c r="R15">
        <f t="shared" ref="R15:R31" si="13">Q15*Q15</f>
        <v>522908.04750814516</v>
      </c>
      <c r="T15">
        <f t="shared" si="0"/>
        <v>77.707959305804906</v>
      </c>
    </row>
    <row r="16" spans="1:27" x14ac:dyDescent="0.3">
      <c r="B16" t="s">
        <v>2</v>
      </c>
      <c r="C16">
        <v>4.1399999999999999E-2</v>
      </c>
      <c r="D16">
        <v>15</v>
      </c>
      <c r="E16">
        <f t="shared" si="1"/>
        <v>5.0495049504950495</v>
      </c>
      <c r="F16">
        <f t="shared" si="2"/>
        <v>9.9504950495049513</v>
      </c>
      <c r="G16">
        <f t="shared" si="3"/>
        <v>66.336633663366342</v>
      </c>
      <c r="H16">
        <f t="shared" si="4"/>
        <v>9.9504950495049513</v>
      </c>
      <c r="I16">
        <f>LOG(H16)</f>
        <v>0.99784468797386516</v>
      </c>
      <c r="J16">
        <f t="shared" si="5"/>
        <v>0.70324880231529374</v>
      </c>
      <c r="K16">
        <f t="shared" si="6"/>
        <v>0.50746268656716409</v>
      </c>
      <c r="L16">
        <f t="shared" si="7"/>
        <v>1.6192902088771119</v>
      </c>
      <c r="M16">
        <f t="shared" si="8"/>
        <v>2.2976223036519166</v>
      </c>
      <c r="N16">
        <f t="shared" si="9"/>
        <v>0.1980392156862745</v>
      </c>
      <c r="O16">
        <f t="shared" si="10"/>
        <v>1.1980392156862745</v>
      </c>
      <c r="P16">
        <f t="shared" si="11"/>
        <v>0.18068623345322385</v>
      </c>
      <c r="Q16">
        <f t="shared" si="12"/>
        <v>447.66315278917074</v>
      </c>
      <c r="R16">
        <f t="shared" si="13"/>
        <v>200402.29836514042</v>
      </c>
      <c r="T16">
        <f t="shared" si="0"/>
        <v>77.707959305804906</v>
      </c>
    </row>
    <row r="17" spans="1:54" x14ac:dyDescent="0.3">
      <c r="B17" t="s">
        <v>3</v>
      </c>
      <c r="C17">
        <v>6.0999999999999999E-2</v>
      </c>
      <c r="D17">
        <v>20</v>
      </c>
      <c r="E17">
        <f t="shared" si="1"/>
        <v>6.9900990099009901</v>
      </c>
      <c r="F17">
        <f t="shared" si="2"/>
        <v>13.009900990099009</v>
      </c>
      <c r="G17">
        <f t="shared" si="3"/>
        <v>65.049504950495049</v>
      </c>
      <c r="H17">
        <f t="shared" si="4"/>
        <v>13.009900990099011</v>
      </c>
      <c r="I17">
        <f>LOG(H17)</f>
        <v>1.1142739914411195</v>
      </c>
      <c r="J17">
        <f t="shared" si="5"/>
        <v>0.8444833272691612</v>
      </c>
      <c r="K17">
        <f t="shared" si="6"/>
        <v>0.53729071537290707</v>
      </c>
      <c r="L17">
        <f t="shared" si="7"/>
        <v>1.9444947206519827</v>
      </c>
      <c r="M17">
        <f t="shared" si="8"/>
        <v>2.5657106822032962</v>
      </c>
      <c r="N17">
        <f t="shared" si="9"/>
        <v>0.14305949008498584</v>
      </c>
      <c r="O17">
        <f t="shared" si="10"/>
        <v>1.1430594900849858</v>
      </c>
      <c r="P17">
        <f t="shared" si="11"/>
        <v>0.13370843077670666</v>
      </c>
      <c r="Q17">
        <f t="shared" si="12"/>
        <v>331.2722642563067</v>
      </c>
      <c r="R17">
        <f t="shared" si="13"/>
        <v>109741.31306550029</v>
      </c>
    </row>
    <row r="19" spans="1:54" x14ac:dyDescent="0.3">
      <c r="A19" t="s">
        <v>30</v>
      </c>
    </row>
    <row r="20" spans="1:54" x14ac:dyDescent="0.3">
      <c r="B20" t="s">
        <v>10</v>
      </c>
    </row>
    <row r="21" spans="1:54" x14ac:dyDescent="0.3">
      <c r="B21" t="s">
        <v>0</v>
      </c>
      <c r="C21">
        <v>4.1000000000000003E-3</v>
      </c>
      <c r="D21">
        <v>5</v>
      </c>
      <c r="E21">
        <f t="shared" si="1"/>
        <v>1.3564356435643565</v>
      </c>
      <c r="F21">
        <f t="shared" si="2"/>
        <v>3.6435643564356432</v>
      </c>
      <c r="G21">
        <f t="shared" ref="G21:G31" si="14">(F21*100)/D21</f>
        <v>72.871287128712865</v>
      </c>
      <c r="H21">
        <f>((D21-E21)*0.01)/0.01</f>
        <v>3.6435643564356432</v>
      </c>
      <c r="I21">
        <f>LOG(H21)</f>
        <v>0.561526444890875</v>
      </c>
      <c r="J21">
        <f t="shared" si="5"/>
        <v>0.13239919337376421</v>
      </c>
      <c r="K21">
        <f t="shared" si="6"/>
        <v>0.37228260869565222</v>
      </c>
      <c r="L21">
        <f t="shared" si="7"/>
        <v>0.30486040898686556</v>
      </c>
      <c r="M21">
        <f t="shared" si="8"/>
        <v>1.2929624213276714</v>
      </c>
      <c r="N21">
        <f t="shared" si="9"/>
        <v>0.73722627737226276</v>
      </c>
      <c r="O21">
        <f t="shared" si="10"/>
        <v>1.7372262773722627</v>
      </c>
      <c r="P21">
        <f t="shared" si="11"/>
        <v>0.55228974784334972</v>
      </c>
      <c r="Q21">
        <f t="shared" si="12"/>
        <v>1368.3376151437437</v>
      </c>
      <c r="R21">
        <f t="shared" si="13"/>
        <v>1872347.829017268</v>
      </c>
    </row>
    <row r="22" spans="1:54" x14ac:dyDescent="0.3">
      <c r="B22" t="s">
        <v>1</v>
      </c>
      <c r="C22">
        <v>2.1499999999999998E-2</v>
      </c>
      <c r="D22">
        <v>10</v>
      </c>
      <c r="E22">
        <f t="shared" si="1"/>
        <v>3.0792079207920788</v>
      </c>
      <c r="F22">
        <f t="shared" si="2"/>
        <v>6.9207920792079207</v>
      </c>
      <c r="G22">
        <f t="shared" si="14"/>
        <v>69.207920792079207</v>
      </c>
      <c r="H22">
        <f t="shared" si="4"/>
        <v>6.9207920792079216</v>
      </c>
      <c r="I22">
        <f>LOG(H22)</f>
        <v>0.84015580196303885</v>
      </c>
      <c r="J22">
        <f t="shared" si="5"/>
        <v>0.48843901524419486</v>
      </c>
      <c r="K22">
        <f t="shared" si="6"/>
        <v>0.44492131616595126</v>
      </c>
      <c r="L22">
        <f t="shared" si="7"/>
        <v>1.1246723953379745</v>
      </c>
      <c r="M22">
        <f t="shared" si="8"/>
        <v>1.9345302253925509</v>
      </c>
      <c r="N22">
        <f t="shared" si="9"/>
        <v>0.32475884244372993</v>
      </c>
      <c r="O22">
        <f t="shared" si="10"/>
        <v>1.32475884244373</v>
      </c>
      <c r="P22">
        <f t="shared" si="11"/>
        <v>0.28123043717029234</v>
      </c>
      <c r="Q22">
        <f t="shared" si="12"/>
        <v>696.76865668087555</v>
      </c>
      <c r="R22">
        <f t="shared" si="13"/>
        <v>485486.56093287183</v>
      </c>
    </row>
    <row r="23" spans="1:54" x14ac:dyDescent="0.3">
      <c r="B23" t="s">
        <v>2</v>
      </c>
      <c r="C23">
        <v>4.1300000000000003E-2</v>
      </c>
      <c r="D23">
        <v>15</v>
      </c>
      <c r="E23">
        <f t="shared" si="1"/>
        <v>5.0396039603960396</v>
      </c>
      <c r="F23">
        <f t="shared" si="2"/>
        <v>9.9603960396039604</v>
      </c>
      <c r="G23">
        <f t="shared" si="14"/>
        <v>66.402640264026402</v>
      </c>
      <c r="H23">
        <f t="shared" si="4"/>
        <v>9.9603960396039604</v>
      </c>
      <c r="I23">
        <f>LOG(H23)</f>
        <v>0.99827660693726605</v>
      </c>
      <c r="J23">
        <f t="shared" si="5"/>
        <v>0.70239640855411622</v>
      </c>
      <c r="K23">
        <f t="shared" si="6"/>
        <v>0.50596421471172959</v>
      </c>
      <c r="L23">
        <f t="shared" si="7"/>
        <v>1.6173274997092633</v>
      </c>
      <c r="M23">
        <f t="shared" si="8"/>
        <v>2.298616833818425</v>
      </c>
      <c r="N23">
        <f t="shared" si="9"/>
        <v>0.19842829076620824</v>
      </c>
      <c r="O23">
        <f t="shared" si="10"/>
        <v>1.1984282907662083</v>
      </c>
      <c r="P23">
        <f t="shared" si="11"/>
        <v>0.1810109406168342</v>
      </c>
      <c r="Q23">
        <f t="shared" si="12"/>
        <v>448.46763816593119</v>
      </c>
      <c r="R23">
        <f t="shared" si="13"/>
        <v>201123.22248212859</v>
      </c>
    </row>
    <row r="24" spans="1:54" x14ac:dyDescent="0.3">
      <c r="B24" t="s">
        <v>3</v>
      </c>
      <c r="C24">
        <v>6.1499999999999999E-2</v>
      </c>
      <c r="D24">
        <v>20</v>
      </c>
      <c r="E24">
        <f t="shared" si="1"/>
        <v>7.0396039603960396</v>
      </c>
      <c r="F24">
        <f t="shared" si="2"/>
        <v>12.96039603960396</v>
      </c>
      <c r="G24">
        <f t="shared" si="14"/>
        <v>64.801980198019805</v>
      </c>
      <c r="H24">
        <f>((D24-E24)*0.01)/0.01</f>
        <v>12.96039603960396</v>
      </c>
      <c r="I24">
        <f>LOG(H24)</f>
        <v>1.1126182727681133</v>
      </c>
      <c r="J24">
        <f t="shared" si="5"/>
        <v>0.84754822694712373</v>
      </c>
      <c r="K24">
        <f t="shared" si="6"/>
        <v>0.54316271963330787</v>
      </c>
      <c r="L24">
        <f t="shared" si="7"/>
        <v>1.9515519129619814</v>
      </c>
      <c r="M24">
        <f t="shared" si="8"/>
        <v>2.5618982490686406</v>
      </c>
      <c r="N24">
        <f t="shared" si="9"/>
        <v>0.1420534458509142</v>
      </c>
      <c r="O24">
        <f t="shared" si="10"/>
        <v>1.1420534458509142</v>
      </c>
      <c r="P24">
        <f t="shared" si="11"/>
        <v>0.13282791035843705</v>
      </c>
      <c r="Q24">
        <f t="shared" si="12"/>
        <v>329.0907115225736</v>
      </c>
      <c r="R24">
        <f t="shared" si="13"/>
        <v>108300.69641043375</v>
      </c>
    </row>
    <row r="26" spans="1:54" x14ac:dyDescent="0.3">
      <c r="A26" t="s">
        <v>21</v>
      </c>
    </row>
    <row r="27" spans="1:54" x14ac:dyDescent="0.3">
      <c r="B27" t="s">
        <v>10</v>
      </c>
      <c r="R27">
        <v>22</v>
      </c>
    </row>
    <row r="28" spans="1:54" x14ac:dyDescent="0.3">
      <c r="B28" t="s">
        <v>0</v>
      </c>
      <c r="C28">
        <v>6.8999999999999999E-3</v>
      </c>
      <c r="D28">
        <v>5</v>
      </c>
      <c r="E28">
        <f t="shared" si="1"/>
        <v>1.6336633663366338</v>
      </c>
      <c r="F28">
        <f t="shared" si="2"/>
        <v>3.3663366336633662</v>
      </c>
      <c r="G28">
        <f t="shared" si="14"/>
        <v>67.32673267326733</v>
      </c>
      <c r="H28">
        <f>((D28-E28)*0.01)/0.01</f>
        <v>3.3663366336633667</v>
      </c>
      <c r="I28">
        <f>LOG(H28)</f>
        <v>0.52715754325961262</v>
      </c>
      <c r="J28">
        <f t="shared" si="5"/>
        <v>0.21316257043126374</v>
      </c>
      <c r="K28">
        <f t="shared" si="6"/>
        <v>0.48529411764705882</v>
      </c>
      <c r="L28">
        <f t="shared" si="7"/>
        <v>0.49082495705932122</v>
      </c>
      <c r="M28">
        <f t="shared" si="8"/>
        <v>1.2138251007689478</v>
      </c>
      <c r="N28">
        <f t="shared" si="9"/>
        <v>0.61212121212121207</v>
      </c>
      <c r="O28">
        <f t="shared" si="10"/>
        <v>1.6121212121212121</v>
      </c>
      <c r="P28">
        <f t="shared" si="11"/>
        <v>0.47755083488111844</v>
      </c>
      <c r="Q28">
        <f t="shared" si="12"/>
        <v>1183.1665770780824</v>
      </c>
      <c r="R28">
        <f t="shared" si="13"/>
        <v>1399883.1491146658</v>
      </c>
      <c r="AZ28">
        <v>50</v>
      </c>
    </row>
    <row r="29" spans="1:54" x14ac:dyDescent="0.3">
      <c r="B29" t="s">
        <v>1</v>
      </c>
      <c r="C29">
        <v>2.5600000000000001E-2</v>
      </c>
      <c r="D29">
        <v>10</v>
      </c>
      <c r="E29">
        <f>(C29+0.0096)/0.0101</f>
        <v>3.4851485148514856</v>
      </c>
      <c r="F29">
        <f t="shared" si="2"/>
        <v>6.5148514851485144</v>
      </c>
      <c r="G29">
        <f t="shared" si="14"/>
        <v>65.148514851485146</v>
      </c>
      <c r="H29">
        <f t="shared" si="4"/>
        <v>6.5148514851485153</v>
      </c>
      <c r="I29">
        <f>LOG(H29)</f>
        <v>0.81390451983131296</v>
      </c>
      <c r="J29">
        <f t="shared" si="5"/>
        <v>0.54222128969548855</v>
      </c>
      <c r="K29">
        <f t="shared" si="6"/>
        <v>0.5349544072948329</v>
      </c>
      <c r="L29">
        <f t="shared" si="7"/>
        <v>1.2485106587568378</v>
      </c>
      <c r="M29">
        <f t="shared" si="8"/>
        <v>1.8740844144840578</v>
      </c>
      <c r="N29">
        <f t="shared" si="9"/>
        <v>0.28693181818181812</v>
      </c>
      <c r="O29">
        <f t="shared" si="10"/>
        <v>1.2869318181818181</v>
      </c>
      <c r="P29">
        <f t="shared" si="11"/>
        <v>0.25226094988493686</v>
      </c>
      <c r="Q29">
        <f t="shared" si="12"/>
        <v>624.99466612832282</v>
      </c>
      <c r="R29">
        <f t="shared" si="13"/>
        <v>390618.33268885373</v>
      </c>
    </row>
    <row r="30" spans="1:54" x14ac:dyDescent="0.3">
      <c r="B30" t="s">
        <v>2</v>
      </c>
      <c r="C30">
        <v>4.3900000000000002E-2</v>
      </c>
      <c r="D30">
        <v>15</v>
      </c>
      <c r="E30">
        <f>(C30+0.0096)/0.0101</f>
        <v>5.2970297029702973</v>
      </c>
      <c r="F30">
        <f t="shared" si="2"/>
        <v>9.7029702970297027</v>
      </c>
      <c r="G30">
        <f t="shared" si="14"/>
        <v>64.686468646864682</v>
      </c>
      <c r="H30">
        <f t="shared" si="4"/>
        <v>9.7029702970297027</v>
      </c>
      <c r="I30">
        <f>LOG(H30)</f>
        <v>0.98690470190985224</v>
      </c>
      <c r="J30">
        <f t="shared" si="5"/>
        <v>0.72403240823858594</v>
      </c>
      <c r="K30">
        <f t="shared" si="6"/>
        <v>0.54591836734693877</v>
      </c>
      <c r="L30">
        <f t="shared" si="7"/>
        <v>1.667146230054747</v>
      </c>
      <c r="M30">
        <f t="shared" si="8"/>
        <v>2.2724320548233581</v>
      </c>
      <c r="N30">
        <f t="shared" si="9"/>
        <v>0.18878504672897195</v>
      </c>
      <c r="O30">
        <f t="shared" si="10"/>
        <v>1.188785046728972</v>
      </c>
      <c r="P30">
        <f t="shared" si="11"/>
        <v>0.17293181644411562</v>
      </c>
      <c r="Q30">
        <f t="shared" si="12"/>
        <v>428.45102633108047</v>
      </c>
      <c r="R30">
        <f t="shared" si="13"/>
        <v>183570.28196415622</v>
      </c>
      <c r="AY30" t="s">
        <v>31</v>
      </c>
      <c r="AZ30" t="s">
        <v>20</v>
      </c>
      <c r="BA30" t="s">
        <v>32</v>
      </c>
      <c r="BB30" t="s">
        <v>19</v>
      </c>
    </row>
    <row r="31" spans="1:54" x14ac:dyDescent="0.3">
      <c r="B31" t="s">
        <v>3</v>
      </c>
      <c r="C31">
        <v>6.5799999999999997E-2</v>
      </c>
      <c r="D31">
        <v>20</v>
      </c>
      <c r="E31">
        <f>(C31+0.0096)/0.0101</f>
        <v>7.4653465346534649</v>
      </c>
      <c r="F31">
        <f t="shared" si="2"/>
        <v>12.534653465346535</v>
      </c>
      <c r="G31">
        <f t="shared" si="14"/>
        <v>62.67326732673267</v>
      </c>
      <c r="H31">
        <f>((D31-E31)*0.01)/0.01</f>
        <v>12.534653465346535</v>
      </c>
      <c r="I31">
        <f>LOG(H31)</f>
        <v>1.0981123318986938</v>
      </c>
      <c r="J31">
        <f t="shared" si="5"/>
        <v>0.87304997208713142</v>
      </c>
      <c r="K31">
        <f t="shared" si="6"/>
        <v>0.59557661927330163</v>
      </c>
      <c r="L31">
        <f t="shared" si="7"/>
        <v>2.0102718511666966</v>
      </c>
      <c r="M31">
        <f t="shared" si="8"/>
        <v>2.5284970858628619</v>
      </c>
      <c r="N31">
        <f t="shared" si="9"/>
        <v>0.13395225464190982</v>
      </c>
      <c r="O31">
        <f t="shared" si="10"/>
        <v>1.1339522546419099</v>
      </c>
      <c r="P31">
        <f t="shared" si="11"/>
        <v>0.12570910092880419</v>
      </c>
      <c r="Q31">
        <f t="shared" si="12"/>
        <v>311.45334860637928</v>
      </c>
      <c r="R31">
        <f t="shared" si="13"/>
        <v>97003.188358126819</v>
      </c>
      <c r="AY31">
        <v>5</v>
      </c>
      <c r="AZ31">
        <v>8.7540000000000007E-2</v>
      </c>
      <c r="BA31">
        <f>AZ31*AY31</f>
        <v>0.43770000000000003</v>
      </c>
      <c r="BB31">
        <f>1/(1+BA31)</f>
        <v>0.69555540098768864</v>
      </c>
    </row>
    <row r="32" spans="1:54" x14ac:dyDescent="0.3">
      <c r="H32">
        <f t="shared" ref="H32" si="15">((D32-E32)*10)/10</f>
        <v>0</v>
      </c>
      <c r="AY32">
        <v>10</v>
      </c>
      <c r="AZ32">
        <v>8.7540000000000007E-2</v>
      </c>
      <c r="BA32">
        <f t="shared" ref="BA32:BA50" si="16">AZ32*AY32</f>
        <v>0.87540000000000007</v>
      </c>
      <c r="BB32">
        <f t="shared" ref="BB32:BB50" si="17">1/(1+BA32)</f>
        <v>0.53321957982297108</v>
      </c>
    </row>
    <row r="33" spans="4:54" x14ac:dyDescent="0.3">
      <c r="D33" t="s">
        <v>22</v>
      </c>
      <c r="AY33">
        <v>15</v>
      </c>
      <c r="AZ33">
        <v>8.7540000000000007E-2</v>
      </c>
      <c r="BA33">
        <f t="shared" si="16"/>
        <v>1.3131000000000002</v>
      </c>
      <c r="BB33">
        <f t="shared" si="17"/>
        <v>0.43232026285071973</v>
      </c>
    </row>
    <row r="34" spans="4:54" x14ac:dyDescent="0.3">
      <c r="F34" t="s">
        <v>25</v>
      </c>
      <c r="G34" t="s">
        <v>12</v>
      </c>
      <c r="I34" t="s">
        <v>6</v>
      </c>
      <c r="J34" t="s">
        <v>24</v>
      </c>
      <c r="M34" t="s">
        <v>26</v>
      </c>
      <c r="N34" t="s">
        <v>13</v>
      </c>
      <c r="P34" t="s">
        <v>16</v>
      </c>
      <c r="Q34" t="s">
        <v>14</v>
      </c>
      <c r="AY34">
        <v>20</v>
      </c>
      <c r="AZ34">
        <v>8.7540000000000007E-2</v>
      </c>
      <c r="BA34">
        <f t="shared" si="16"/>
        <v>1.7508000000000001</v>
      </c>
      <c r="BB34">
        <f t="shared" si="17"/>
        <v>0.36353060927730119</v>
      </c>
    </row>
    <row r="35" spans="4:54" x14ac:dyDescent="0.3">
      <c r="F35">
        <v>0.13239919337376421</v>
      </c>
      <c r="G35">
        <v>0.561526444890875</v>
      </c>
      <c r="I35">
        <v>1.3564356435643565</v>
      </c>
      <c r="J35">
        <v>0.37228260869565222</v>
      </c>
      <c r="M35">
        <v>0.30486040898686556</v>
      </c>
      <c r="N35">
        <v>3.6435643564356432</v>
      </c>
      <c r="P35">
        <v>1872347.829017268</v>
      </c>
      <c r="Q35">
        <v>1.2929624213276714</v>
      </c>
    </row>
    <row r="36" spans="4:54" x14ac:dyDescent="0.3">
      <c r="F36">
        <v>0.48843901524419486</v>
      </c>
      <c r="G36">
        <v>0.84015580196303885</v>
      </c>
      <c r="I36">
        <v>3.0792079207920788</v>
      </c>
      <c r="J36">
        <v>0.44492131616595126</v>
      </c>
      <c r="M36">
        <v>1.1246723953379745</v>
      </c>
      <c r="N36">
        <v>6.9207920792079216</v>
      </c>
      <c r="P36">
        <v>485486.56093287183</v>
      </c>
      <c r="Q36">
        <v>1.9345302253925509</v>
      </c>
    </row>
    <row r="37" spans="4:54" x14ac:dyDescent="0.3">
      <c r="F37">
        <v>0.70239640855411622</v>
      </c>
      <c r="G37">
        <v>0.99827660693726605</v>
      </c>
      <c r="I37">
        <v>5.0396039603960396</v>
      </c>
      <c r="J37">
        <v>0.50596421471172959</v>
      </c>
      <c r="M37">
        <v>1.6173274997092633</v>
      </c>
      <c r="N37">
        <v>9.9603960396039604</v>
      </c>
      <c r="P37">
        <v>201123.22248212859</v>
      </c>
      <c r="Q37">
        <v>2.298616833818425</v>
      </c>
      <c r="AZ37" t="s">
        <v>23</v>
      </c>
    </row>
    <row r="38" spans="4:54" x14ac:dyDescent="0.3">
      <c r="F38">
        <v>0.84754822694712373</v>
      </c>
      <c r="G38">
        <v>1.1126182727681133</v>
      </c>
      <c r="I38">
        <v>7.0396039603960396</v>
      </c>
      <c r="J38">
        <v>0.54316271963330787</v>
      </c>
      <c r="M38">
        <v>1.9515519129619814</v>
      </c>
      <c r="N38">
        <v>12.96039603960396</v>
      </c>
      <c r="P38">
        <v>108300.69641043375</v>
      </c>
      <c r="Q38">
        <v>2.5618982490686406</v>
      </c>
      <c r="AY38" t="s">
        <v>18</v>
      </c>
      <c r="AZ38" t="s">
        <v>20</v>
      </c>
    </row>
    <row r="39" spans="4:54" x14ac:dyDescent="0.3">
      <c r="AY39">
        <v>5</v>
      </c>
      <c r="AZ39">
        <v>3.8602999999999998E-2</v>
      </c>
      <c r="BA39">
        <f t="shared" si="16"/>
        <v>0.19301499999999999</v>
      </c>
      <c r="BB39">
        <f t="shared" si="17"/>
        <v>0.83821242817567265</v>
      </c>
    </row>
    <row r="40" spans="4:54" x14ac:dyDescent="0.3">
      <c r="D40" t="s">
        <v>21</v>
      </c>
      <c r="AY40">
        <v>10</v>
      </c>
      <c r="AZ40">
        <v>3.8602999999999998E-2</v>
      </c>
      <c r="BA40">
        <f t="shared" si="16"/>
        <v>0.38602999999999998</v>
      </c>
      <c r="BB40">
        <f t="shared" si="17"/>
        <v>0.72148510494000861</v>
      </c>
    </row>
    <row r="41" spans="4:54" x14ac:dyDescent="0.3">
      <c r="F41" t="s">
        <v>25</v>
      </c>
      <c r="G41" t="s">
        <v>12</v>
      </c>
      <c r="I41" t="s">
        <v>6</v>
      </c>
      <c r="J41" t="s">
        <v>24</v>
      </c>
      <c r="M41" t="s">
        <v>26</v>
      </c>
      <c r="N41" t="s">
        <v>13</v>
      </c>
      <c r="P41" t="s">
        <v>16</v>
      </c>
      <c r="Q41" t="s">
        <v>14</v>
      </c>
      <c r="AY41">
        <v>15</v>
      </c>
      <c r="AZ41">
        <v>3.8602999999999998E-2</v>
      </c>
      <c r="BA41">
        <f t="shared" si="16"/>
        <v>0.57904500000000003</v>
      </c>
      <c r="BB41">
        <f t="shared" si="17"/>
        <v>0.63329417464353455</v>
      </c>
    </row>
    <row r="42" spans="4:54" x14ac:dyDescent="0.3">
      <c r="F42">
        <v>0.21316257043126374</v>
      </c>
      <c r="G42">
        <v>0.52715754325961262</v>
      </c>
      <c r="I42">
        <v>1.6336633663366338</v>
      </c>
      <c r="J42">
        <v>0.48529411764705882</v>
      </c>
      <c r="M42">
        <v>0.49082495705932122</v>
      </c>
      <c r="N42">
        <v>3.3663366336633667</v>
      </c>
      <c r="P42">
        <v>1399883.1491146658</v>
      </c>
      <c r="Q42">
        <v>1.2138251007689478</v>
      </c>
      <c r="AY42">
        <v>20</v>
      </c>
      <c r="AZ42">
        <v>3.8602999999999998E-2</v>
      </c>
      <c r="BA42">
        <f t="shared" si="16"/>
        <v>0.77205999999999997</v>
      </c>
      <c r="BB42">
        <f t="shared" si="17"/>
        <v>0.56431497804814734</v>
      </c>
    </row>
    <row r="43" spans="4:54" x14ac:dyDescent="0.3">
      <c r="F43">
        <v>0.54222128969548855</v>
      </c>
      <c r="G43">
        <v>0.81390451983131296</v>
      </c>
      <c r="I43">
        <v>3.4851485148514856</v>
      </c>
      <c r="J43">
        <v>0.5349544072948329</v>
      </c>
      <c r="M43">
        <v>1.2485106587568378</v>
      </c>
      <c r="N43">
        <v>6.5148514851485153</v>
      </c>
      <c r="P43">
        <v>390618.33268885373</v>
      </c>
      <c r="Q43">
        <v>1.8740844144840578</v>
      </c>
    </row>
    <row r="44" spans="4:54" x14ac:dyDescent="0.3">
      <c r="F44">
        <v>0.72403240823858594</v>
      </c>
      <c r="G44">
        <v>0.98690470190985224</v>
      </c>
      <c r="I44">
        <v>5.2970297029702973</v>
      </c>
      <c r="J44">
        <v>0.54591836734693877</v>
      </c>
      <c r="M44">
        <v>1.667146230054747</v>
      </c>
      <c r="N44">
        <v>9.7029702970297027</v>
      </c>
      <c r="P44">
        <v>183570.28196415622</v>
      </c>
      <c r="Q44">
        <v>2.2724320548233581</v>
      </c>
      <c r="AZ44">
        <v>90</v>
      </c>
    </row>
    <row r="45" spans="4:54" x14ac:dyDescent="0.3">
      <c r="F45">
        <v>0.87304997208713142</v>
      </c>
      <c r="G45">
        <v>1.0981123318986938</v>
      </c>
      <c r="I45">
        <v>7.4653465346534649</v>
      </c>
      <c r="J45">
        <v>0.59557661927330163</v>
      </c>
      <c r="M45">
        <v>2.0102718511666966</v>
      </c>
      <c r="N45">
        <v>12.534653465346535</v>
      </c>
      <c r="P45">
        <v>97003.188358126819</v>
      </c>
      <c r="Q45">
        <v>2.5284970858628619</v>
      </c>
    </row>
    <row r="46" spans="4:54" x14ac:dyDescent="0.3">
      <c r="AY46" t="s">
        <v>18</v>
      </c>
      <c r="AZ46" t="s">
        <v>20</v>
      </c>
    </row>
    <row r="47" spans="4:54" x14ac:dyDescent="0.3">
      <c r="D47" t="s">
        <v>11</v>
      </c>
      <c r="AY47">
        <v>5</v>
      </c>
      <c r="AZ47">
        <v>0.1641</v>
      </c>
      <c r="BA47">
        <f t="shared" si="16"/>
        <v>0.82050000000000001</v>
      </c>
      <c r="BB47">
        <f t="shared" si="17"/>
        <v>0.54929964295523204</v>
      </c>
    </row>
    <row r="48" spans="4:54" x14ac:dyDescent="0.3">
      <c r="F48" t="s">
        <v>25</v>
      </c>
      <c r="G48" t="s">
        <v>12</v>
      </c>
      <c r="I48" t="s">
        <v>6</v>
      </c>
      <c r="J48" t="s">
        <v>24</v>
      </c>
      <c r="M48" t="s">
        <v>26</v>
      </c>
      <c r="N48" t="s">
        <v>13</v>
      </c>
      <c r="P48" t="s">
        <v>16</v>
      </c>
      <c r="Q48" t="s">
        <v>14</v>
      </c>
      <c r="AY48">
        <v>10</v>
      </c>
      <c r="AZ48">
        <v>0.1641</v>
      </c>
      <c r="BA48">
        <f t="shared" si="16"/>
        <v>1.641</v>
      </c>
      <c r="BB48">
        <f t="shared" si="17"/>
        <v>0.37864445285876563</v>
      </c>
    </row>
    <row r="49" spans="4:54" x14ac:dyDescent="0.3">
      <c r="F49">
        <v>4.1001605004014806E-2</v>
      </c>
      <c r="G49">
        <v>0.59117484804293152</v>
      </c>
      <c r="I49">
        <v>1.0990099009900989</v>
      </c>
      <c r="J49">
        <v>0.28172588832487305</v>
      </c>
      <c r="M49">
        <v>9.4409684471074562E-2</v>
      </c>
      <c r="N49">
        <v>3.9009900990099009</v>
      </c>
      <c r="P49">
        <v>1399883.1491146658</v>
      </c>
      <c r="Q49">
        <v>1.3612303924566744</v>
      </c>
      <c r="AY49">
        <v>15</v>
      </c>
      <c r="AZ49">
        <v>0.1641</v>
      </c>
      <c r="BA49">
        <f t="shared" si="16"/>
        <v>2.4615</v>
      </c>
      <c r="BB49">
        <f t="shared" si="17"/>
        <v>0.28889209880109779</v>
      </c>
    </row>
    <row r="50" spans="4:54" x14ac:dyDescent="0.3">
      <c r="F50">
        <v>0.46989489029361264</v>
      </c>
      <c r="G50">
        <v>0.84815861985421381</v>
      </c>
      <c r="I50">
        <v>2.9504950495049505</v>
      </c>
      <c r="J50">
        <v>0.41853932584269654</v>
      </c>
      <c r="M50">
        <v>1.0819729696641449</v>
      </c>
      <c r="N50">
        <v>7.0495049504950504</v>
      </c>
      <c r="P50">
        <v>390618.33268885373</v>
      </c>
      <c r="Q50">
        <v>1.9529573945707164</v>
      </c>
      <c r="AY50">
        <v>20</v>
      </c>
      <c r="AZ50">
        <v>0.1641</v>
      </c>
      <c r="BA50">
        <f t="shared" si="16"/>
        <v>3.282</v>
      </c>
      <c r="BB50">
        <f t="shared" si="17"/>
        <v>0.23353573096683791</v>
      </c>
    </row>
    <row r="51" spans="4:54" x14ac:dyDescent="0.3">
      <c r="F51">
        <v>0.70324880231529374</v>
      </c>
      <c r="G51">
        <v>0.99784468797386516</v>
      </c>
      <c r="I51">
        <v>5.0495049504950495</v>
      </c>
      <c r="J51">
        <v>0.50746268656716409</v>
      </c>
      <c r="M51">
        <v>1.6192902088771119</v>
      </c>
      <c r="N51">
        <v>9.9504950495049513</v>
      </c>
      <c r="P51">
        <v>183570.28196415622</v>
      </c>
      <c r="Q51">
        <v>2.2976223036519166</v>
      </c>
    </row>
    <row r="52" spans="4:54" x14ac:dyDescent="0.3">
      <c r="F52">
        <v>0.8444833272691612</v>
      </c>
      <c r="G52">
        <v>1.1142739914411195</v>
      </c>
      <c r="I52">
        <v>6.9900990099009901</v>
      </c>
      <c r="J52">
        <v>0.53729071537290707</v>
      </c>
      <c r="M52">
        <v>1.9444947206519827</v>
      </c>
      <c r="N52">
        <v>13.009900990099011</v>
      </c>
      <c r="P52">
        <v>97003.188358126819</v>
      </c>
      <c r="Q52">
        <v>2.5657106822032962</v>
      </c>
    </row>
    <row r="59" spans="4:54" x14ac:dyDescent="0.3">
      <c r="O59">
        <v>0.69555540098768864</v>
      </c>
    </row>
    <row r="60" spans="4:54" x14ac:dyDescent="0.3">
      <c r="O60">
        <v>0.53321957982297108</v>
      </c>
    </row>
    <row r="61" spans="4:54" x14ac:dyDescent="0.3">
      <c r="D61" t="s">
        <v>18</v>
      </c>
      <c r="E61" t="s">
        <v>21</v>
      </c>
      <c r="F61" t="s">
        <v>22</v>
      </c>
      <c r="G61" t="s">
        <v>11</v>
      </c>
      <c r="O61">
        <v>0.43232026285071973</v>
      </c>
    </row>
    <row r="62" spans="4:54" x14ac:dyDescent="0.3">
      <c r="D62">
        <v>5</v>
      </c>
      <c r="E62">
        <v>0.83821242817567265</v>
      </c>
      <c r="F62">
        <v>0.69555540098768864</v>
      </c>
      <c r="G62">
        <v>0.54929964295523204</v>
      </c>
      <c r="O62">
        <v>0.36353060927730119</v>
      </c>
    </row>
    <row r="63" spans="4:54" x14ac:dyDescent="0.3">
      <c r="D63">
        <v>10</v>
      </c>
      <c r="E63">
        <v>0.72148510494000861</v>
      </c>
      <c r="F63">
        <v>0.53321957982297108</v>
      </c>
      <c r="G63">
        <v>0.37864445285876563</v>
      </c>
    </row>
    <row r="64" spans="4:54" x14ac:dyDescent="0.3">
      <c r="D64">
        <v>15</v>
      </c>
      <c r="E64">
        <v>0.63329417464353455</v>
      </c>
      <c r="F64">
        <v>0.43232026285071973</v>
      </c>
      <c r="G64">
        <v>0.28889209880109779</v>
      </c>
    </row>
    <row r="65" spans="4:15" x14ac:dyDescent="0.3">
      <c r="D65">
        <v>20</v>
      </c>
      <c r="E65">
        <v>0.56431497804814734</v>
      </c>
      <c r="F65">
        <v>0.36353060927730119</v>
      </c>
      <c r="G65">
        <v>0.23353573096683791</v>
      </c>
    </row>
    <row r="67" spans="4:15" x14ac:dyDescent="0.3">
      <c r="O67">
        <v>0.83821242817567265</v>
      </c>
    </row>
    <row r="68" spans="4:15" x14ac:dyDescent="0.3">
      <c r="O68">
        <v>0.72148510494000861</v>
      </c>
    </row>
    <row r="69" spans="4:15" x14ac:dyDescent="0.3">
      <c r="O69">
        <v>0.63329417464353455</v>
      </c>
    </row>
    <row r="70" spans="4:15" x14ac:dyDescent="0.3">
      <c r="O70">
        <v>0.56431497804814734</v>
      </c>
    </row>
    <row r="75" spans="4:15" x14ac:dyDescent="0.3">
      <c r="O75">
        <v>0.54929964295523204</v>
      </c>
    </row>
    <row r="76" spans="4:15" x14ac:dyDescent="0.3">
      <c r="O76">
        <v>0.37864445285876563</v>
      </c>
    </row>
    <row r="77" spans="4:15" x14ac:dyDescent="0.3">
      <c r="O77">
        <v>0.28889209880109779</v>
      </c>
    </row>
    <row r="78" spans="4:15" x14ac:dyDescent="0.3">
      <c r="O78">
        <v>0.23353573096683791</v>
      </c>
    </row>
  </sheetData>
  <pageMargins left="0.7" right="0.7" top="0.75" bottom="0.75" header="0.3" footer="0.3"/>
  <drawing r:id="rId1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/>
</file>