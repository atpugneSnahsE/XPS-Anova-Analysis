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E841DBC4-157F-4940-A84B-A97068B06FC3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5" i="1"/>
  <c r="E16" i="1"/>
  <c r="E17" i="1"/>
  <c r="E21" i="1"/>
  <c r="E22" i="1"/>
  <c r="E23" i="1"/>
  <c r="E24" i="1"/>
  <c r="E28" i="1"/>
  <c r="E29" i="1"/>
  <c r="F29" i="1" s="1"/>
  <c r="G29" i="1" s="1"/>
  <c r="E30" i="1"/>
  <c r="E31" i="1"/>
  <c r="F31" i="1" s="1"/>
  <c r="G31" i="1" s="1"/>
  <c r="E14" i="1"/>
  <c r="F21" i="1"/>
  <c r="G21" i="1" s="1"/>
  <c r="F22" i="1"/>
  <c r="G22" i="1" s="1"/>
  <c r="F23" i="1"/>
  <c r="G23" i="1" s="1"/>
  <c r="F24" i="1"/>
  <c r="G24" i="1" s="1"/>
  <c r="F28" i="1"/>
  <c r="G28" i="1" s="1"/>
  <c r="F30" i="1"/>
  <c r="G30" i="1" s="1"/>
  <c r="F15" i="1"/>
  <c r="G15" i="1" s="1"/>
  <c r="F16" i="1"/>
  <c r="G16" i="1" s="1"/>
  <c r="F17" i="1"/>
  <c r="G17" i="1" s="1"/>
</calcChain>
</file>

<file path=xl/sharedStrings.xml><?xml version="1.0" encoding="utf-8"?>
<sst xmlns="http://schemas.openxmlformats.org/spreadsheetml/2006/main" count="28" uniqueCount="18">
  <si>
    <t>Ad.ds</t>
  </si>
  <si>
    <t>5mg</t>
  </si>
  <si>
    <t>10mg</t>
  </si>
  <si>
    <t>15mg</t>
  </si>
  <si>
    <t>20mg</t>
  </si>
  <si>
    <t>Adsorbent.Dsg</t>
  </si>
  <si>
    <t>GO-CO</t>
  </si>
  <si>
    <t>Absorbance</t>
  </si>
  <si>
    <t>initial concentration</t>
  </si>
  <si>
    <t>final concentration</t>
  </si>
  <si>
    <t>adsorbed</t>
  </si>
  <si>
    <t>% adsorption</t>
  </si>
  <si>
    <t>conc. Mg/L</t>
  </si>
  <si>
    <t>G-MCC90</t>
  </si>
  <si>
    <t>GO-MCC50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</si>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</sst>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0.08</c:v>
                </c:pt>
                <c:pt idx="1">
                  <c:v>0.161</c:v>
                </c:pt>
                <c:pt idx="2">
                  <c:v>0.38</c:v>
                </c:pt>
                <c:pt idx="3">
                  <c:v>0.8</c:v>
                </c:pt>
                <c:pt idx="4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24759405074365"/>
          <c:y val="0.10226851851851852"/>
          <c:w val="0.84019685039370073"/>
          <c:h val="0.716836176727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82.307692307692292</c:v>
                </c:pt>
                <c:pt idx="1">
                  <c:v>82.685714285714283</c:v>
                </c:pt>
                <c:pt idx="2">
                  <c:v>83.94285714285715</c:v>
                </c:pt>
                <c:pt idx="3">
                  <c:v>84.439560439560438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502-B3EF-B156A33C05CF}"/>
            </c:ext>
          </c:extLst>
        </c:ser>
        <c:ser>
          <c:idx val="1"/>
          <c:order val="1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77.71868131868132</c:v>
                </c:pt>
                <c:pt idx="1">
                  <c:v>79.956043956043956</c:v>
                </c:pt>
                <c:pt idx="2">
                  <c:v>83.441758241758251</c:v>
                </c:pt>
                <c:pt idx="3">
                  <c:v>83.435164835164841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0-4502-B3EF-B156A33C05CF}"/>
            </c:ext>
          </c:extLst>
        </c:ser>
        <c:ser>
          <c:idx val="2"/>
          <c:order val="2"/>
          <c:tx>
            <c:strRef>
              <c:f>Sheet1!$L$34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Sheet1!$L$35:$L$38</c:f>
              <c:numCache>
                <c:formatCode>General</c:formatCode>
                <c:ptCount val="4"/>
                <c:pt idx="0">
                  <c:v>80.364835164835171</c:v>
                </c:pt>
                <c:pt idx="1">
                  <c:v>80.99340659340659</c:v>
                </c:pt>
                <c:pt idx="2">
                  <c:v>81.683516483516499</c:v>
                </c:pt>
                <c:pt idx="3">
                  <c:v>81.714285714285708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40-4502-B3EF-B156A33C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11391"/>
        <c:axId val="458012351"/>
      </c:scatterChart>
      <c:valAx>
        <c:axId val="458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Adsorbent</a:t>
                </a:r>
                <a:r>
                  <a:rPr lang="en-GB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Dose</a:t>
                </a:r>
                <a:endParaRPr lang="en-GB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060979877515315"/>
              <c:y val="0.87241506270049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2351"/>
        <c:crosses val="autoZero"/>
        <c:crossBetween val="midCat"/>
      </c:valAx>
      <c:valAx>
        <c:axId val="458012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</a:t>
                </a:r>
                <a:r>
                  <a:rPr lang="en-GB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GB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139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4674956255468063"/>
          <c:y val="0.54224482356372117"/>
          <c:w val="0.30094510061242347"/>
          <c:h val="0.24942184310294543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560294</xdr:colOff>
      <xdr:row>26</xdr:row>
      <xdr:rowOff>134470</xdr:rowOff>
    </xdr:from>
    <xdr:to>
      <xdr:col>21</xdr:col>
      <xdr:colOff>255494</xdr:colOff>
      <xdr:row>42</xdr:row>
      <xdr:rowOff>8964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EF946-BA1A-374D-2D7E-B5A4BC89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L38"/>
  <sheetViews>
    <sheetView tabSelected="1" topLeftCell="A10" zoomScale="85" zoomScaleNormal="85" workbookViewId="0">
      <selection activeCell="M31" sqref="M31"/>
    </sheetView>
  </sheetViews>
  <sheetFormatPr defaultRowHeight="14.4" x14ac:dyDescent="0.3"/>
  <sheetData>
    <row r="3" spans="1:7" x14ac:dyDescent="0.3">
      <c r="B3" t="s">
        <v>12</v>
      </c>
      <c r="C3" t="s">
        <v>7</v>
      </c>
    </row>
    <row r="4" spans="1:7" x14ac:dyDescent="0.3">
      <c r="B4">
        <v>1</v>
      </c>
      <c r="C4">
        <v>0.08</v>
      </c>
    </row>
    <row r="5" spans="1:7" x14ac:dyDescent="0.3">
      <c r="B5">
        <v>2</v>
      </c>
      <c r="C5">
        <v>0.161</v>
      </c>
    </row>
    <row r="6" spans="1:7" x14ac:dyDescent="0.3">
      <c r="B6">
        <v>5</v>
      </c>
      <c r="C6">
        <v>0.38</v>
      </c>
    </row>
    <row r="7" spans="1:7" x14ac:dyDescent="0.3">
      <c r="B7">
        <v>10</v>
      </c>
      <c r="C7">
        <v>0.8</v>
      </c>
    </row>
    <row r="8" spans="1:7" x14ac:dyDescent="0.3">
      <c r="B8">
        <v>20</v>
      </c>
      <c r="C8">
        <v>1.81</v>
      </c>
    </row>
    <row r="11" spans="1:7" x14ac:dyDescent="0.3">
      <c r="A11" t="s">
        <v>6</v>
      </c>
    </row>
    <row r="13" spans="1:7" x14ac:dyDescent="0.3">
      <c r="B13" t="s">
        <v>0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x14ac:dyDescent="0.3">
      <c r="B14" t="s">
        <v>1</v>
      </c>
      <c r="C14">
        <v>3.5200000000000002E-2</v>
      </c>
      <c r="D14">
        <v>5</v>
      </c>
      <c r="E14">
        <f>(C14+0.0453)/0.091</f>
        <v>0.88461538461538469</v>
      </c>
      <c r="F14">
        <f>D14-E14</f>
        <v>4.115384615384615</v>
      </c>
      <c r="G14">
        <f>(F14*100)/D14</f>
        <v>82.307692307692292</v>
      </c>
    </row>
    <row r="15" spans="1:7" x14ac:dyDescent="0.3">
      <c r="B15" t="s">
        <v>2</v>
      </c>
      <c r="C15">
        <v>3.3480000000000003E-2</v>
      </c>
      <c r="D15">
        <v>5</v>
      </c>
      <c r="E15">
        <f t="shared" ref="E15:E31" si="0">(C15+0.0453)/0.091</f>
        <v>0.86571428571428577</v>
      </c>
      <c r="F15">
        <f t="shared" ref="F15:F31" si="1">D15-E15</f>
        <v>4.1342857142857143</v>
      </c>
      <c r="G15">
        <f t="shared" ref="G15:G30" si="2">(F15*100)/D15</f>
        <v>82.685714285714283</v>
      </c>
    </row>
    <row r="16" spans="1:7" x14ac:dyDescent="0.3">
      <c r="B16" t="s">
        <v>3</v>
      </c>
      <c r="C16">
        <v>2.776E-2</v>
      </c>
      <c r="D16">
        <v>5</v>
      </c>
      <c r="E16">
        <f t="shared" si="0"/>
        <v>0.80285714285714282</v>
      </c>
      <c r="F16">
        <f t="shared" si="1"/>
        <v>4.1971428571428575</v>
      </c>
      <c r="G16">
        <f t="shared" si="2"/>
        <v>83.94285714285715</v>
      </c>
    </row>
    <row r="17" spans="1:7" x14ac:dyDescent="0.3">
      <c r="B17" t="s">
        <v>4</v>
      </c>
      <c r="C17">
        <v>2.5499999999999998E-2</v>
      </c>
      <c r="D17">
        <v>5</v>
      </c>
      <c r="E17">
        <f t="shared" si="0"/>
        <v>0.77802197802197803</v>
      </c>
      <c r="F17">
        <f t="shared" si="1"/>
        <v>4.2219780219780221</v>
      </c>
      <c r="G17">
        <f t="shared" si="2"/>
        <v>84.439560439560438</v>
      </c>
    </row>
    <row r="18" spans="1:7" x14ac:dyDescent="0.3">
      <c r="A18" t="s">
        <v>13</v>
      </c>
    </row>
    <row r="20" spans="1:7" x14ac:dyDescent="0.3">
      <c r="B20" t="s">
        <v>5</v>
      </c>
    </row>
    <row r="21" spans="1:7" x14ac:dyDescent="0.3">
      <c r="B21" t="s">
        <v>1</v>
      </c>
      <c r="C21">
        <v>4.4040000000000003E-2</v>
      </c>
      <c r="D21">
        <v>5</v>
      </c>
      <c r="E21">
        <f t="shared" si="0"/>
        <v>0.98175824175824178</v>
      </c>
      <c r="F21">
        <f t="shared" si="1"/>
        <v>4.018241758241758</v>
      </c>
      <c r="G21">
        <f t="shared" si="2"/>
        <v>80.364835164835171</v>
      </c>
    </row>
    <row r="22" spans="1:7" x14ac:dyDescent="0.3">
      <c r="B22" t="s">
        <v>2</v>
      </c>
      <c r="C22">
        <v>4.1180000000000001E-2</v>
      </c>
      <c r="D22">
        <v>5</v>
      </c>
      <c r="E22">
        <f t="shared" si="0"/>
        <v>0.95032967032967042</v>
      </c>
      <c r="F22">
        <f t="shared" si="1"/>
        <v>4.0496703296703291</v>
      </c>
      <c r="G22">
        <f t="shared" si="2"/>
        <v>80.99340659340659</v>
      </c>
    </row>
    <row r="23" spans="1:7" x14ac:dyDescent="0.3">
      <c r="B23" t="s">
        <v>3</v>
      </c>
      <c r="C23">
        <v>3.8039999999999997E-2</v>
      </c>
      <c r="D23">
        <v>5</v>
      </c>
      <c r="E23">
        <f t="shared" si="0"/>
        <v>0.91582417582417586</v>
      </c>
      <c r="F23">
        <f t="shared" si="1"/>
        <v>4.0841758241758246</v>
      </c>
      <c r="G23">
        <f t="shared" si="2"/>
        <v>81.683516483516499</v>
      </c>
    </row>
    <row r="24" spans="1:7" x14ac:dyDescent="0.3">
      <c r="B24" t="s">
        <v>4</v>
      </c>
      <c r="C24">
        <v>3.7900000000000003E-2</v>
      </c>
      <c r="D24">
        <v>5</v>
      </c>
      <c r="E24">
        <f t="shared" si="0"/>
        <v>0.91428571428571426</v>
      </c>
      <c r="F24">
        <f t="shared" si="1"/>
        <v>4.0857142857142854</v>
      </c>
      <c r="G24">
        <f t="shared" si="2"/>
        <v>81.714285714285708</v>
      </c>
    </row>
    <row r="26" spans="1:7" x14ac:dyDescent="0.3">
      <c r="A26" t="s">
        <v>14</v>
      </c>
    </row>
    <row r="27" spans="1:7" x14ac:dyDescent="0.3">
      <c r="B27" t="s">
        <v>5</v>
      </c>
    </row>
    <row r="28" spans="1:7" x14ac:dyDescent="0.3">
      <c r="B28" t="s">
        <v>1</v>
      </c>
      <c r="C28">
        <v>5.6079999999999998E-2</v>
      </c>
      <c r="D28">
        <v>5</v>
      </c>
      <c r="E28">
        <f t="shared" si="0"/>
        <v>1.114065934065934</v>
      </c>
      <c r="F28">
        <f t="shared" si="1"/>
        <v>3.885934065934066</v>
      </c>
      <c r="G28">
        <f t="shared" si="2"/>
        <v>77.71868131868132</v>
      </c>
    </row>
    <row r="29" spans="1:7" x14ac:dyDescent="0.3">
      <c r="B29" t="s">
        <v>2</v>
      </c>
      <c r="C29">
        <v>4.5900000000000003E-2</v>
      </c>
      <c r="D29">
        <v>5</v>
      </c>
      <c r="E29">
        <f t="shared" si="0"/>
        <v>1.0021978021978022</v>
      </c>
      <c r="F29">
        <f t="shared" si="1"/>
        <v>3.9978021978021978</v>
      </c>
      <c r="G29">
        <f t="shared" si="2"/>
        <v>79.956043956043956</v>
      </c>
    </row>
    <row r="30" spans="1:7" x14ac:dyDescent="0.3">
      <c r="B30" t="s">
        <v>3</v>
      </c>
      <c r="C30">
        <v>3.0040000000000001E-2</v>
      </c>
      <c r="D30">
        <v>5</v>
      </c>
      <c r="E30">
        <f t="shared" si="0"/>
        <v>0.82791208791208803</v>
      </c>
      <c r="F30">
        <f t="shared" si="1"/>
        <v>4.1720879120879122</v>
      </c>
      <c r="G30">
        <f t="shared" si="2"/>
        <v>83.441758241758251</v>
      </c>
    </row>
    <row r="31" spans="1:7" x14ac:dyDescent="0.3">
      <c r="B31" t="s">
        <v>4</v>
      </c>
      <c r="C31">
        <v>3.007E-2</v>
      </c>
      <c r="D31">
        <v>5</v>
      </c>
      <c r="E31">
        <f t="shared" si="0"/>
        <v>0.82824175824175816</v>
      </c>
      <c r="F31">
        <f t="shared" si="1"/>
        <v>4.1717582417582415</v>
      </c>
      <c r="G31">
        <f>(F31*100)/D31</f>
        <v>83.435164835164841</v>
      </c>
    </row>
    <row r="34" spans="9:12" x14ac:dyDescent="0.3">
      <c r="J34" t="s">
        <v>15</v>
      </c>
      <c r="K34" t="s">
        <v>16</v>
      </c>
      <c r="L34" t="s">
        <v>17</v>
      </c>
    </row>
    <row r="35" spans="9:12" x14ac:dyDescent="0.3">
      <c r="I35">
        <v>5</v>
      </c>
      <c r="J35">
        <v>82.307692307692292</v>
      </c>
      <c r="K35">
        <v>77.71868131868132</v>
      </c>
      <c r="L35">
        <v>80.364835164835171</v>
      </c>
    </row>
    <row r="36" spans="9:12" x14ac:dyDescent="0.3">
      <c r="I36">
        <v>10</v>
      </c>
      <c r="J36">
        <v>82.685714285714283</v>
      </c>
      <c r="K36">
        <v>79.956043956043956</v>
      </c>
      <c r="L36">
        <v>80.99340659340659</v>
      </c>
    </row>
    <row r="37" spans="9:12" x14ac:dyDescent="0.3">
      <c r="I37">
        <v>15</v>
      </c>
      <c r="J37">
        <v>83.94285714285715</v>
      </c>
      <c r="K37">
        <v>83.441758241758251</v>
      </c>
      <c r="L37">
        <v>81.683516483516499</v>
      </c>
    </row>
    <row r="38" spans="9:12" x14ac:dyDescent="0.3">
      <c r="I38">
        <v>20</v>
      </c>
      <c r="J38">
        <v>84.439560439560438</v>
      </c>
      <c r="K38">
        <v>83.435164835164841</v>
      </c>
      <c r="L38">
        <v>81.714285714285708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