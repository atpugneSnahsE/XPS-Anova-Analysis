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S\"/>
    </mc:Choice>
  </mc:AlternateContent>
  <xr:revisionPtr revIDLastSave="0" documentId="13_ncr:1_{D2DC7B6F-F855-4B10-A912-5456080C6EED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1" l="1"/>
  <c r="F61" i="1" s="1"/>
  <c r="G61" i="1" s="1"/>
  <c r="E60" i="1"/>
  <c r="F60" i="1" s="1"/>
  <c r="G60" i="1" s="1"/>
  <c r="E59" i="1"/>
  <c r="F59" i="1" s="1"/>
  <c r="G59" i="1" s="1"/>
  <c r="E58" i="1"/>
  <c r="F58" i="1" s="1"/>
  <c r="G58" i="1" s="1"/>
  <c r="E57" i="1"/>
  <c r="F57" i="1" s="1"/>
  <c r="G57" i="1" s="1"/>
  <c r="E56" i="1"/>
  <c r="F56" i="1" s="1"/>
  <c r="G56" i="1" s="1"/>
  <c r="E55" i="1"/>
  <c r="F55" i="1" s="1"/>
  <c r="G55" i="1" s="1"/>
  <c r="E26" i="1"/>
  <c r="E27" i="1"/>
  <c r="F27" i="1" s="1"/>
  <c r="G27" i="1" s="1"/>
  <c r="E28" i="1"/>
  <c r="F28" i="1" s="1"/>
  <c r="G28" i="1" s="1"/>
  <c r="F26" i="1"/>
  <c r="G26" i="1" s="1"/>
  <c r="E23" i="1"/>
  <c r="F23" i="1" s="1"/>
  <c r="G23" i="1" s="1"/>
  <c r="E24" i="1"/>
  <c r="F24" i="1" s="1"/>
  <c r="G24" i="1" s="1"/>
  <c r="E25" i="1"/>
  <c r="F25" i="1" s="1"/>
  <c r="G25" i="1" s="1"/>
  <c r="E32" i="1"/>
  <c r="E33" i="1"/>
  <c r="E34" i="1"/>
  <c r="E35" i="1"/>
  <c r="E36" i="1"/>
  <c r="E37" i="1"/>
  <c r="E38" i="1"/>
  <c r="E42" i="1"/>
  <c r="E43" i="1"/>
  <c r="E44" i="1"/>
  <c r="E45" i="1"/>
  <c r="E46" i="1"/>
  <c r="E47" i="1"/>
  <c r="E48" i="1"/>
  <c r="E22" i="1"/>
  <c r="F22" i="1" s="1"/>
  <c r="G22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</calcChain>
</file>

<file path=xl/sharedStrings.xml><?xml version="1.0" encoding="utf-8"?>
<sst xmlns="http://schemas.openxmlformats.org/spreadsheetml/2006/main" count="18" uniqueCount="13">
  <si>
    <t>pH</t>
  </si>
  <si>
    <t>conc. Mg/L</t>
  </si>
  <si>
    <t>Absorbance</t>
  </si>
  <si>
    <t>GO-Chitosan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</si>
  <si>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</si>
  <si>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</si>
  <si>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</si>
  <si>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</si>
  <si>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</si>
  <si>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</si>
  <si>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</si>
  <si>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</si>
  <si>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GO-CS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</si>
</sst>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16400200667438"/>
                  <c:y val="0.20997225425589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8.8319999999999996E-2</c:v>
                </c:pt>
                <c:pt idx="1">
                  <c:v>9.6560000000000007E-2</c:v>
                </c:pt>
                <c:pt idx="2">
                  <c:v>0.11438</c:v>
                </c:pt>
                <c:pt idx="3">
                  <c:v>0.13367999999999999</c:v>
                </c:pt>
                <c:pt idx="4">
                  <c:v>0.17385999999999999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04705539598487"/>
          <c:y val="4.3325680108696023E-2"/>
          <c:w val="0.78407475632701762"/>
          <c:h val="0.7436625345549775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Sheet1!$K$21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Sheet1!$K$22:$K$28</c:f>
              <c:numCache>
                <c:formatCode>General</c:formatCode>
                <c:ptCount val="7"/>
                <c:pt idx="0">
                  <c:v>53.45454545454546</c:v>
                </c:pt>
                <c:pt idx="1">
                  <c:v>81.318181818181813</c:v>
                </c:pt>
                <c:pt idx="2">
                  <c:v>84.590909090909079</c:v>
                </c:pt>
                <c:pt idx="3">
                  <c:v>95.500000000000014</c:v>
                </c:pt>
                <c:pt idx="4">
                  <c:v>84.545454545454547</c:v>
                </c:pt>
                <c:pt idx="5">
                  <c:v>83.954545454545467</c:v>
                </c:pt>
                <c:pt idx="6">
                  <c:v>57.318181818181799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B-415A-B32D-C5E260EE3E07}"/>
            </c:ext>
          </c:extLst>
        </c:ser>
        <c:ser>
          <c:idx val="1"/>
          <c:order val="1"/>
          <c:tx>
            <c:strRef>
              <c:f>Sheet1!$L$21</c:f>
              <c:strCache>
                <c:ptCount val="1"/>
                <c:pt idx="0">
                  <c:v>GO-MCC50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Sheet1!$L$22:$L$28</c:f>
              <c:numCache>
                <c:formatCode>General</c:formatCode>
                <c:ptCount val="7"/>
                <c:pt idx="0">
                  <c:v>87.181818181818159</c:v>
                </c:pt>
                <c:pt idx="1">
                  <c:v>94.681818181818159</c:v>
                </c:pt>
                <c:pt idx="2">
                  <c:v>92.454545454545439</c:v>
                </c:pt>
                <c:pt idx="3">
                  <c:v>91.636363636363626</c:v>
                </c:pt>
                <c:pt idx="4">
                  <c:v>82.272727272727266</c:v>
                </c:pt>
                <c:pt idx="5">
                  <c:v>61.318181818181813</c:v>
                </c:pt>
                <c:pt idx="6">
                  <c:v>51.090909090909108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B-415A-B32D-C5E260EE3E07}"/>
            </c:ext>
          </c:extLst>
        </c:ser>
        <c:ser>
          <c:idx val="2"/>
          <c:order val="2"/>
          <c:tx>
            <c:strRef>
              <c:f>Sheet1!$M$21</c:f>
              <c:strCache>
                <c:ptCount val="1"/>
                <c:pt idx="0">
                  <c:v>GO-MCC90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Sheet1!$M$22:$M$28</c:f>
              <c:numCache>
                <c:formatCode>General</c:formatCode>
                <c:ptCount val="7"/>
                <c:pt idx="0">
                  <c:v>87.681818181818159</c:v>
                </c:pt>
                <c:pt idx="1">
                  <c:v>88.63636363636364</c:v>
                </c:pt>
                <c:pt idx="2">
                  <c:v>84.72727272727272</c:v>
                </c:pt>
                <c:pt idx="3">
                  <c:v>83.227272727272734</c:v>
                </c:pt>
                <c:pt idx="4">
                  <c:v>70.454545454545467</c:v>
                </c:pt>
                <c:pt idx="5">
                  <c:v>58.090909090909101</c:v>
                </c:pt>
                <c:pt idx="6">
                  <c:v>54.54545454545454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DB-415A-B32D-C5E260EE3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979168"/>
        <c:axId val="463979648"/>
      </c:scatterChart>
      <c:valAx>
        <c:axId val="463979168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648"/>
        <c:crosses val="autoZero"/>
        <c:crossBetween val="midCat"/>
      </c:valAx>
      <c:valAx>
        <c:axId val="463979648"/>
        <c:scaling>
          <c:orientation val="minMax"/>
          <c:min val="3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Adsorption (</a:t>
                </a:r>
                <a:r>
                  <a:rPr lang="en-GB"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n-GB" sz="2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r>
                  <a:rPr lang="en-GB" sz="2400" b="1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GB" sz="2400" b="1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5884397120842823E-2"/>
              <c:y val="0.13025213764183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168"/>
        <c:crosses val="autoZero"/>
        <c:crossBetween val="midCat"/>
      </c:valAx>
      <c:spPr>
        <a:noFill/>
        <a:ln w="2222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0604692693714677"/>
          <c:y val="5.665230904395481E-2"/>
          <c:w val="0.24885961296107698"/>
          <c:h val="0.17623223909518004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367667</xdr:colOff>
      <xdr:row>4</xdr:row>
      <xdr:rowOff>129319</xdr:rowOff>
    </xdr:from>
    <xdr:to>
      <xdr:col>22</xdr:col>
      <xdr:colOff>242339</xdr:colOff>
      <xdr:row>20</xdr:row>
      <xdr:rowOff>33902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D8005E-2B69-9878-F22D-1E7596CA1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B4:Q61"/>
  <sheetViews>
    <sheetView tabSelected="1" zoomScale="96" zoomScaleNormal="96" workbookViewId="0">
      <selection activeCell="C22" sqref="C22"/>
    </sheetView>
  </sheetViews>
  <sheetFormatPr defaultRowHeight="14.4" x14ac:dyDescent="0.3"/>
  <sheetData>
    <row r="4" spans="2:3" x14ac:dyDescent="0.3">
      <c r="B4" t="s">
        <v>1</v>
      </c>
      <c r="C4" t="s">
        <v>2</v>
      </c>
    </row>
    <row r="5" spans="2:3" x14ac:dyDescent="0.3">
      <c r="B5">
        <v>1</v>
      </c>
      <c r="C5">
        <v>8.8319999999999996E-2</v>
      </c>
    </row>
    <row r="6" spans="2:3" x14ac:dyDescent="0.3">
      <c r="B6">
        <v>2</v>
      </c>
      <c r="C6">
        <v>9.6560000000000007E-2</v>
      </c>
    </row>
    <row r="7" spans="2:3" x14ac:dyDescent="0.3">
      <c r="B7">
        <v>5</v>
      </c>
      <c r="C7">
        <v>0.11438</v>
      </c>
    </row>
    <row r="8" spans="2:3" x14ac:dyDescent="0.3">
      <c r="B8">
        <v>10</v>
      </c>
      <c r="C8">
        <v>0.13367999999999999</v>
      </c>
    </row>
    <row r="9" spans="2:3" x14ac:dyDescent="0.3">
      <c r="B9">
        <v>20</v>
      </c>
      <c r="C9">
        <v>0.17385999999999999</v>
      </c>
    </row>
    <row r="20" spans="2:17" ht="25.8" x14ac:dyDescent="0.5">
      <c r="D20" t="s">
        <v>6</v>
      </c>
      <c r="H20" s="5" t="s">
        <v>3</v>
      </c>
    </row>
    <row r="21" spans="2:17" x14ac:dyDescent="0.3">
      <c r="B21" t="s">
        <v>0</v>
      </c>
      <c r="C21" t="s">
        <v>4</v>
      </c>
      <c r="D21" t="s">
        <v>5</v>
      </c>
      <c r="E21" t="s">
        <v>7</v>
      </c>
      <c r="F21" t="s">
        <v>8</v>
      </c>
      <c r="G21" t="s">
        <v>9</v>
      </c>
      <c r="J21" t="s">
        <v>0</v>
      </c>
      <c r="K21" t="s">
        <v>12</v>
      </c>
      <c r="L21" t="s">
        <v>10</v>
      </c>
      <c r="M21" t="s">
        <v>11</v>
      </c>
    </row>
    <row r="22" spans="2:17" ht="15.6" x14ac:dyDescent="0.3">
      <c r="B22">
        <v>3</v>
      </c>
      <c r="C22">
        <v>0.10858</v>
      </c>
      <c r="D22">
        <v>10</v>
      </c>
      <c r="E22">
        <f>(C22-0.0881)/0.0044</f>
        <v>4.6545454545454534</v>
      </c>
      <c r="F22">
        <f>D22-E22</f>
        <v>5.3454545454545466</v>
      </c>
      <c r="G22">
        <f>(F22*100)/D22</f>
        <v>53.45454545454546</v>
      </c>
      <c r="J22" s="1">
        <v>3</v>
      </c>
      <c r="K22">
        <v>53.45454545454546</v>
      </c>
      <c r="L22">
        <v>87.181818181818159</v>
      </c>
      <c r="M22">
        <v>87.681818181818159</v>
      </c>
    </row>
    <row r="23" spans="2:17" x14ac:dyDescent="0.3">
      <c r="B23">
        <v>4</v>
      </c>
      <c r="C23">
        <v>9.6320000000000003E-2</v>
      </c>
      <c r="D23">
        <v>10</v>
      </c>
      <c r="E23">
        <f t="shared" ref="E23:E48" si="0">(C23-0.0881)/0.0044</f>
        <v>1.8681818181818193</v>
      </c>
      <c r="F23">
        <f>D23-E23</f>
        <v>8.1318181818181809</v>
      </c>
      <c r="G23">
        <f t="shared" ref="G23:G48" si="1">(F23*100)/D23</f>
        <v>81.318181818181813</v>
      </c>
      <c r="J23">
        <v>4</v>
      </c>
      <c r="K23">
        <v>81.318181818181813</v>
      </c>
      <c r="L23">
        <v>94.681818181818159</v>
      </c>
      <c r="M23">
        <v>88.63636363636364</v>
      </c>
    </row>
    <row r="24" spans="2:17" x14ac:dyDescent="0.3">
      <c r="B24">
        <v>5</v>
      </c>
      <c r="C24">
        <v>9.4880000000000006E-2</v>
      </c>
      <c r="D24">
        <v>10</v>
      </c>
      <c r="E24">
        <f t="shared" si="0"/>
        <v>1.5409090909090928</v>
      </c>
      <c r="F24">
        <f t="shared" ref="F24:F48" si="2">D24-E24</f>
        <v>8.4590909090909072</v>
      </c>
      <c r="G24">
        <f t="shared" si="1"/>
        <v>84.590909090909079</v>
      </c>
      <c r="J24">
        <v>5</v>
      </c>
      <c r="K24">
        <v>84.590909090909079</v>
      </c>
      <c r="L24">
        <v>92.454545454545439</v>
      </c>
      <c r="M24">
        <v>84.72727272727272</v>
      </c>
    </row>
    <row r="25" spans="2:17" x14ac:dyDescent="0.3">
      <c r="B25">
        <v>6</v>
      </c>
      <c r="C25">
        <v>9.0079999999999993E-2</v>
      </c>
      <c r="D25">
        <v>10</v>
      </c>
      <c r="E25">
        <f t="shared" si="0"/>
        <v>0.44999999999999901</v>
      </c>
      <c r="F25">
        <f t="shared" si="2"/>
        <v>9.5500000000000007</v>
      </c>
      <c r="G25">
        <f t="shared" si="1"/>
        <v>95.500000000000014</v>
      </c>
      <c r="J25">
        <v>6</v>
      </c>
      <c r="K25">
        <v>95.500000000000014</v>
      </c>
      <c r="L25">
        <v>91.636363636363626</v>
      </c>
      <c r="M25">
        <v>83.227272727272734</v>
      </c>
    </row>
    <row r="26" spans="2:17" x14ac:dyDescent="0.3">
      <c r="B26">
        <v>7</v>
      </c>
      <c r="C26">
        <v>9.4899999999999998E-2</v>
      </c>
      <c r="D26">
        <v>10</v>
      </c>
      <c r="E26">
        <f>(C26-0.0881)/0.0044</f>
        <v>1.5454545454545454</v>
      </c>
      <c r="F26">
        <f t="shared" si="2"/>
        <v>8.454545454545455</v>
      </c>
      <c r="G26">
        <f t="shared" si="1"/>
        <v>84.545454545454547</v>
      </c>
      <c r="J26">
        <v>7</v>
      </c>
      <c r="K26">
        <v>84.545454545454547</v>
      </c>
      <c r="L26">
        <v>82.272727272727266</v>
      </c>
      <c r="M26">
        <v>70.454545454545467</v>
      </c>
    </row>
    <row r="27" spans="2:17" x14ac:dyDescent="0.3">
      <c r="B27">
        <v>8</v>
      </c>
      <c r="C27">
        <v>9.5159999999999995E-2</v>
      </c>
      <c r="D27">
        <v>10</v>
      </c>
      <c r="E27">
        <f>(C27-0.0881)/0.0044</f>
        <v>1.6045454545454538</v>
      </c>
      <c r="F27">
        <f t="shared" si="2"/>
        <v>8.3954545454545464</v>
      </c>
      <c r="G27">
        <f t="shared" si="1"/>
        <v>83.954545454545467</v>
      </c>
      <c r="J27">
        <v>8</v>
      </c>
      <c r="K27">
        <v>83.954545454545467</v>
      </c>
      <c r="L27">
        <v>61.318181818181813</v>
      </c>
      <c r="M27">
        <v>58.090909090909101</v>
      </c>
    </row>
    <row r="28" spans="2:17" x14ac:dyDescent="0.3">
      <c r="B28">
        <v>9</v>
      </c>
      <c r="C28">
        <v>0.10688</v>
      </c>
      <c r="D28">
        <v>10</v>
      </c>
      <c r="E28">
        <f>(C28-0.0881)/0.0044</f>
        <v>4.2681818181818194</v>
      </c>
      <c r="F28">
        <f t="shared" si="2"/>
        <v>5.7318181818181806</v>
      </c>
      <c r="G28">
        <f t="shared" si="1"/>
        <v>57.318181818181799</v>
      </c>
      <c r="J28">
        <v>9</v>
      </c>
      <c r="K28">
        <v>57.318181818181799</v>
      </c>
      <c r="L28">
        <v>51.090909090909108</v>
      </c>
      <c r="M28">
        <v>54.54545454545454</v>
      </c>
    </row>
    <row r="30" spans="2:17" ht="28.8" x14ac:dyDescent="0.55000000000000004">
      <c r="F30" s="6"/>
    </row>
    <row r="31" spans="2:17" x14ac:dyDescent="0.3">
      <c r="B31" t="s">
        <v>0</v>
      </c>
      <c r="C31" t="s">
        <v>10</v>
      </c>
    </row>
    <row r="32" spans="2:17" ht="21" x14ac:dyDescent="0.4">
      <c r="B32">
        <v>3</v>
      </c>
      <c r="C32">
        <v>9.3740000000000004E-2</v>
      </c>
      <c r="D32">
        <v>10</v>
      </c>
      <c r="E32">
        <f t="shared" si="0"/>
        <v>1.2818181818181831</v>
      </c>
      <c r="F32">
        <f t="shared" si="2"/>
        <v>8.7181818181818169</v>
      </c>
      <c r="G32">
        <f>(F32*100)/D32</f>
        <v>87.181818181818159</v>
      </c>
      <c r="K32" s="1"/>
      <c r="N32" s="2"/>
      <c r="Q32" s="3"/>
    </row>
    <row r="33" spans="2:7" x14ac:dyDescent="0.3">
      <c r="B33">
        <v>4</v>
      </c>
      <c r="C33">
        <v>9.0440000000000006E-2</v>
      </c>
      <c r="D33">
        <v>10</v>
      </c>
      <c r="E33">
        <f t="shared" si="0"/>
        <v>0.53181818181818374</v>
      </c>
      <c r="F33">
        <f t="shared" si="2"/>
        <v>9.4681818181818169</v>
      </c>
      <c r="G33">
        <f t="shared" si="1"/>
        <v>94.681818181818159</v>
      </c>
    </row>
    <row r="34" spans="2:7" x14ac:dyDescent="0.3">
      <c r="B34">
        <v>5</v>
      </c>
      <c r="C34">
        <v>9.1420000000000001E-2</v>
      </c>
      <c r="D34">
        <v>10</v>
      </c>
      <c r="E34">
        <f t="shared" si="0"/>
        <v>0.7545454545454553</v>
      </c>
      <c r="F34">
        <f t="shared" si="2"/>
        <v>9.2454545454545443</v>
      </c>
      <c r="G34">
        <f t="shared" si="1"/>
        <v>92.454545454545439</v>
      </c>
    </row>
    <row r="35" spans="2:7" x14ac:dyDescent="0.3">
      <c r="B35">
        <v>6</v>
      </c>
      <c r="C35">
        <v>9.178E-2</v>
      </c>
      <c r="D35">
        <v>10</v>
      </c>
      <c r="E35">
        <f t="shared" si="0"/>
        <v>0.83636363636363698</v>
      </c>
      <c r="F35">
        <f t="shared" si="2"/>
        <v>9.1636363636363622</v>
      </c>
      <c r="G35">
        <f t="shared" si="1"/>
        <v>91.636363636363626</v>
      </c>
    </row>
    <row r="36" spans="2:7" x14ac:dyDescent="0.3">
      <c r="B36">
        <v>7</v>
      </c>
      <c r="C36">
        <v>9.5899999999999999E-2</v>
      </c>
      <c r="D36">
        <v>10</v>
      </c>
      <c r="E36">
        <f t="shared" si="0"/>
        <v>1.7727272727272729</v>
      </c>
      <c r="F36">
        <f t="shared" si="2"/>
        <v>8.2272727272727266</v>
      </c>
      <c r="G36">
        <f t="shared" si="1"/>
        <v>82.272727272727266</v>
      </c>
    </row>
    <row r="37" spans="2:7" x14ac:dyDescent="0.3">
      <c r="B37">
        <v>8</v>
      </c>
      <c r="C37">
        <v>0.10512000000000001</v>
      </c>
      <c r="D37">
        <v>10</v>
      </c>
      <c r="E37">
        <f t="shared" si="0"/>
        <v>3.8681818181818195</v>
      </c>
      <c r="F37">
        <f t="shared" si="2"/>
        <v>6.1318181818181809</v>
      </c>
      <c r="G37">
        <f t="shared" si="1"/>
        <v>61.318181818181813</v>
      </c>
    </row>
    <row r="38" spans="2:7" x14ac:dyDescent="0.3">
      <c r="B38">
        <v>9</v>
      </c>
      <c r="C38">
        <v>0.10962</v>
      </c>
      <c r="D38">
        <v>10</v>
      </c>
      <c r="E38">
        <f t="shared" si="0"/>
        <v>4.8909090909090898</v>
      </c>
      <c r="F38">
        <f t="shared" si="2"/>
        <v>5.1090909090909102</v>
      </c>
      <c r="G38">
        <f t="shared" si="1"/>
        <v>51.090909090909108</v>
      </c>
    </row>
    <row r="40" spans="2:7" ht="23.4" x14ac:dyDescent="0.45">
      <c r="F40" s="4"/>
    </row>
    <row r="41" spans="2:7" x14ac:dyDescent="0.3">
      <c r="B41" t="s">
        <v>0</v>
      </c>
      <c r="C41" t="s">
        <v>11</v>
      </c>
    </row>
    <row r="42" spans="2:7" x14ac:dyDescent="0.3">
      <c r="B42">
        <v>3</v>
      </c>
      <c r="C42">
        <v>9.3520000000000006E-2</v>
      </c>
      <c r="D42">
        <v>10</v>
      </c>
      <c r="E42">
        <f t="shared" si="0"/>
        <v>1.2318181818181837</v>
      </c>
      <c r="F42">
        <f t="shared" si="2"/>
        <v>8.7681818181818159</v>
      </c>
      <c r="G42">
        <f t="shared" si="1"/>
        <v>87.681818181818159</v>
      </c>
    </row>
    <row r="43" spans="2:7" x14ac:dyDescent="0.3">
      <c r="B43">
        <v>4</v>
      </c>
      <c r="C43">
        <v>9.3100000000000002E-2</v>
      </c>
      <c r="D43">
        <v>10</v>
      </c>
      <c r="E43">
        <f t="shared" si="0"/>
        <v>1.1363636363636374</v>
      </c>
      <c r="F43">
        <f t="shared" si="2"/>
        <v>8.8636363636363633</v>
      </c>
      <c r="G43">
        <f t="shared" si="1"/>
        <v>88.63636363636364</v>
      </c>
    </row>
    <row r="44" spans="2:7" x14ac:dyDescent="0.3">
      <c r="B44">
        <v>5</v>
      </c>
      <c r="C44">
        <v>9.4820000000000002E-2</v>
      </c>
      <c r="D44">
        <v>10</v>
      </c>
      <c r="E44">
        <f t="shared" si="0"/>
        <v>1.527272727272728</v>
      </c>
      <c r="F44">
        <f t="shared" si="2"/>
        <v>8.4727272727272727</v>
      </c>
      <c r="G44">
        <f t="shared" si="1"/>
        <v>84.72727272727272</v>
      </c>
    </row>
    <row r="45" spans="2:7" x14ac:dyDescent="0.3">
      <c r="B45">
        <v>6</v>
      </c>
      <c r="C45">
        <v>9.5479999999999995E-2</v>
      </c>
      <c r="D45">
        <v>10</v>
      </c>
      <c r="E45">
        <f t="shared" si="0"/>
        <v>1.6772727272727266</v>
      </c>
      <c r="F45">
        <f t="shared" si="2"/>
        <v>8.3227272727272741</v>
      </c>
      <c r="G45">
        <f t="shared" si="1"/>
        <v>83.227272727272734</v>
      </c>
    </row>
    <row r="46" spans="2:7" x14ac:dyDescent="0.3">
      <c r="B46">
        <v>7</v>
      </c>
      <c r="C46">
        <v>0.1011</v>
      </c>
      <c r="D46">
        <v>10</v>
      </c>
      <c r="E46">
        <f t="shared" si="0"/>
        <v>2.9545454545454537</v>
      </c>
      <c r="F46">
        <f t="shared" si="2"/>
        <v>7.0454545454545467</v>
      </c>
      <c r="G46">
        <f t="shared" si="1"/>
        <v>70.454545454545467</v>
      </c>
    </row>
    <row r="47" spans="2:7" x14ac:dyDescent="0.3">
      <c r="B47">
        <v>8</v>
      </c>
      <c r="C47">
        <v>0.10654</v>
      </c>
      <c r="D47">
        <v>10</v>
      </c>
      <c r="E47">
        <f t="shared" si="0"/>
        <v>4.1909090909090905</v>
      </c>
      <c r="F47">
        <f t="shared" si="2"/>
        <v>5.8090909090909095</v>
      </c>
      <c r="G47">
        <f t="shared" si="1"/>
        <v>58.090909090909101</v>
      </c>
    </row>
    <row r="48" spans="2:7" x14ac:dyDescent="0.3">
      <c r="B48">
        <v>9</v>
      </c>
      <c r="C48">
        <v>0.1081</v>
      </c>
      <c r="D48">
        <v>10</v>
      </c>
      <c r="E48">
        <f t="shared" si="0"/>
        <v>4.5454545454545459</v>
      </c>
      <c r="F48">
        <f t="shared" si="2"/>
        <v>5.4545454545454541</v>
      </c>
      <c r="G48">
        <f t="shared" si="1"/>
        <v>54.54545454545454</v>
      </c>
    </row>
    <row r="55" spans="2:7" x14ac:dyDescent="0.3">
      <c r="B55">
        <v>3</v>
      </c>
      <c r="C55">
        <v>9.3100000000000002E-2</v>
      </c>
      <c r="D55">
        <v>10</v>
      </c>
      <c r="E55">
        <f>(C55-0.0881)/0.0044</f>
        <v>1.1363636363636374</v>
      </c>
      <c r="F55">
        <f>D55-E55</f>
        <v>8.8636363636363633</v>
      </c>
      <c r="G55">
        <f>(F55*100)/D55</f>
        <v>88.63636363636364</v>
      </c>
    </row>
    <row r="56" spans="2:7" x14ac:dyDescent="0.3">
      <c r="B56">
        <v>4</v>
      </c>
      <c r="C56">
        <v>9.3520000000000006E-2</v>
      </c>
      <c r="D56">
        <v>10</v>
      </c>
      <c r="E56">
        <f t="shared" ref="E56:E58" si="3">(C56-0.0881)/0.0044</f>
        <v>1.2318181818181837</v>
      </c>
      <c r="F56">
        <f>D56-E56</f>
        <v>8.7681818181818159</v>
      </c>
      <c r="G56">
        <f t="shared" ref="G56:G61" si="4">(F56*100)/D56</f>
        <v>87.681818181818159</v>
      </c>
    </row>
    <row r="57" spans="2:7" x14ac:dyDescent="0.3">
      <c r="B57">
        <v>5</v>
      </c>
      <c r="C57">
        <v>9.4820000000000002E-2</v>
      </c>
      <c r="D57">
        <v>10</v>
      </c>
      <c r="E57">
        <f t="shared" si="3"/>
        <v>1.527272727272728</v>
      </c>
      <c r="F57">
        <f t="shared" ref="F57:F61" si="5">D57-E57</f>
        <v>8.4727272727272727</v>
      </c>
      <c r="G57">
        <f t="shared" si="4"/>
        <v>84.72727272727272</v>
      </c>
    </row>
    <row r="58" spans="2:7" x14ac:dyDescent="0.3">
      <c r="B58">
        <v>6</v>
      </c>
      <c r="C58">
        <v>9.5479999999999995E-2</v>
      </c>
      <c r="D58">
        <v>10</v>
      </c>
      <c r="E58">
        <f t="shared" si="3"/>
        <v>1.6772727272727266</v>
      </c>
      <c r="F58">
        <f t="shared" si="5"/>
        <v>8.3227272727272741</v>
      </c>
      <c r="G58">
        <f t="shared" si="4"/>
        <v>83.227272727272734</v>
      </c>
    </row>
    <row r="59" spans="2:7" x14ac:dyDescent="0.3">
      <c r="B59">
        <v>7</v>
      </c>
      <c r="C59">
        <v>0.1011</v>
      </c>
      <c r="D59">
        <v>10</v>
      </c>
      <c r="E59">
        <f>(C59-0.0881)/0.0044</f>
        <v>2.9545454545454537</v>
      </c>
      <c r="F59">
        <f t="shared" si="5"/>
        <v>7.0454545454545467</v>
      </c>
      <c r="G59">
        <f t="shared" si="4"/>
        <v>70.454545454545467</v>
      </c>
    </row>
    <row r="60" spans="2:7" x14ac:dyDescent="0.3">
      <c r="B60">
        <v>8</v>
      </c>
      <c r="C60">
        <v>0.10654</v>
      </c>
      <c r="D60">
        <v>10</v>
      </c>
      <c r="E60">
        <f>(C60-0.0881)/0.0044</f>
        <v>4.1909090909090905</v>
      </c>
      <c r="F60">
        <f t="shared" si="5"/>
        <v>5.8090909090909095</v>
      </c>
      <c r="G60">
        <f t="shared" si="4"/>
        <v>58.090909090909101</v>
      </c>
    </row>
    <row r="61" spans="2:7" x14ac:dyDescent="0.3">
      <c r="B61">
        <v>9</v>
      </c>
      <c r="C61">
        <v>0.1081</v>
      </c>
      <c r="D61">
        <v>10</v>
      </c>
      <c r="E61">
        <f>(C61-0.0881)/0.0044</f>
        <v>4.5454545454545459</v>
      </c>
      <c r="F61">
        <f t="shared" si="5"/>
        <v>5.4545454545454541</v>
      </c>
      <c r="G61">
        <f t="shared" si="4"/>
        <v>54.54545454545454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