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S\"/>
    </mc:Choice>
  </mc:AlternateContent>
  <xr:revisionPtr revIDLastSave="0" documentId="13_ncr:1_{46FC4CD1-5545-457D-B32D-D7C07639E00E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21" i="1"/>
  <c r="E28" i="1"/>
  <c r="E29" i="1"/>
  <c r="E30" i="1"/>
  <c r="E31" i="1"/>
  <c r="E22" i="1"/>
  <c r="E23" i="1"/>
  <c r="E24" i="1"/>
  <c r="H15" i="1" l="1"/>
  <c r="I15" i="1" s="1"/>
  <c r="J15" i="1" s="1"/>
  <c r="H16" i="1"/>
  <c r="I16" i="1" s="1"/>
  <c r="J16" i="1" s="1"/>
  <c r="H17" i="1"/>
  <c r="I17" i="1" s="1"/>
  <c r="J17" i="1" s="1"/>
  <c r="H21" i="1"/>
  <c r="I21" i="1" s="1"/>
  <c r="J21" i="1" s="1"/>
  <c r="H22" i="1"/>
  <c r="I22" i="1" s="1"/>
  <c r="J22" i="1" s="1"/>
  <c r="H23" i="1"/>
  <c r="I23" i="1" s="1"/>
  <c r="J23" i="1" s="1"/>
  <c r="H24" i="1"/>
  <c r="I24" i="1" s="1"/>
  <c r="J24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J31" i="1" s="1"/>
  <c r="H14" i="1"/>
  <c r="I14" i="1" s="1"/>
  <c r="J14" i="1" s="1"/>
  <c r="L14" i="1" s="1"/>
  <c r="M14" i="1" s="1"/>
  <c r="N14" i="1" s="1"/>
  <c r="K17" i="1"/>
  <c r="B31" i="1"/>
  <c r="K31" i="1" s="1"/>
  <c r="B30" i="1"/>
  <c r="K30" i="1" s="1"/>
  <c r="B29" i="1"/>
  <c r="K29" i="1" s="1"/>
  <c r="B28" i="1"/>
  <c r="K28" i="1" s="1"/>
  <c r="B24" i="1"/>
  <c r="K24" i="1" s="1"/>
  <c r="B23" i="1"/>
  <c r="K23" i="1" s="1"/>
  <c r="B22" i="1"/>
  <c r="K22" i="1" s="1"/>
  <c r="B21" i="1"/>
  <c r="K21" i="1" s="1"/>
  <c r="B17" i="1"/>
  <c r="B16" i="1"/>
  <c r="K16" i="1" s="1"/>
  <c r="B15" i="1"/>
  <c r="K15" i="1" s="1"/>
  <c r="B14" i="1"/>
  <c r="K14" i="1" s="1"/>
  <c r="F15" i="1"/>
  <c r="G15" i="1" s="1"/>
  <c r="F16" i="1"/>
  <c r="G16" i="1" s="1"/>
  <c r="F17" i="1"/>
  <c r="G17" i="1" s="1"/>
  <c r="F21" i="1"/>
  <c r="G21" i="1" s="1"/>
  <c r="F22" i="1"/>
  <c r="G22" i="1" s="1"/>
  <c r="F23" i="1"/>
  <c r="G23" i="1" s="1"/>
  <c r="F24" i="1"/>
  <c r="G24" i="1" s="1"/>
  <c r="F28" i="1"/>
  <c r="G28" i="1" s="1"/>
  <c r="F29" i="1"/>
  <c r="G29" i="1" s="1"/>
  <c r="F14" i="1"/>
  <c r="G14" i="1" s="1"/>
  <c r="F31" i="1"/>
  <c r="G31" i="1" s="1"/>
  <c r="F30" i="1"/>
  <c r="G30" i="1" s="1"/>
  <c r="L31" i="1" l="1"/>
  <c r="M31" i="1" s="1"/>
  <c r="N31" i="1" s="1"/>
  <c r="L30" i="1"/>
  <c r="M30" i="1" s="1"/>
  <c r="N30" i="1" s="1"/>
  <c r="L29" i="1"/>
  <c r="M29" i="1" s="1"/>
  <c r="N29" i="1" s="1"/>
  <c r="L28" i="1"/>
  <c r="M28" i="1" s="1"/>
  <c r="N28" i="1" s="1"/>
  <c r="L24" i="1"/>
  <c r="M24" i="1" s="1"/>
  <c r="N24" i="1" s="1"/>
  <c r="L23" i="1"/>
  <c r="M23" i="1" s="1"/>
  <c r="N23" i="1" s="1"/>
  <c r="L22" i="1"/>
  <c r="M22" i="1" s="1"/>
  <c r="N22" i="1" s="1"/>
  <c r="L21" i="1"/>
  <c r="M21" i="1" s="1"/>
  <c r="N21" i="1" s="1"/>
  <c r="L17" i="1"/>
  <c r="M17" i="1" s="1"/>
  <c r="N17" i="1" s="1"/>
  <c r="L16" i="1"/>
  <c r="M16" i="1" s="1"/>
  <c r="N16" i="1" s="1"/>
  <c r="L15" i="1"/>
  <c r="M15" i="1" s="1"/>
  <c r="N15" i="1" s="1"/>
</calcChain>
</file>

<file path=xl/sharedStrings.xml><?xml version="1.0" encoding="utf-8"?>
<sst xmlns="http://schemas.openxmlformats.org/spreadsheetml/2006/main" count="53" uniqueCount="20">
  <si>
    <t>Ad.ds</t>
  </si>
  <si>
    <t>Absorbance</t>
  </si>
  <si>
    <t>initial concentration</t>
  </si>
  <si>
    <t>final concentration</t>
  </si>
  <si>
    <t>adsorbed</t>
  </si>
  <si>
    <t>% adsorption</t>
  </si>
  <si>
    <t>conc. Mg/L</t>
  </si>
  <si>
    <t>temp</t>
  </si>
  <si>
    <t>GO-MCC50</t>
  </si>
  <si>
    <t>GO-MCC90</t>
  </si>
  <si>
    <t>qe</t>
  </si>
  <si>
    <t>Kd=qe/Cf</t>
  </si>
  <si>
    <t>lnKD</t>
  </si>
  <si>
    <t>1/T</t>
  </si>
  <si>
    <t>G=RTlnKD</t>
  </si>
  <si>
    <t>G=-</t>
  </si>
  <si>
    <t>G/1000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</si>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</sst>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8.8319999999999996E-2</c:v>
                </c:pt>
                <c:pt idx="1">
                  <c:v>9.6560000000000007E-2</c:v>
                </c:pt>
                <c:pt idx="2">
                  <c:v>0.11438</c:v>
                </c:pt>
                <c:pt idx="3">
                  <c:v>0.13367999999999999</c:v>
                </c:pt>
                <c:pt idx="4">
                  <c:v>0.17385999999999999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Sheet1!$Q$13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Sheet1!$P$14:$P$17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Sheet1!$Q$14:$Q$17</c:f>
              <c:numCache>
                <c:formatCode>General</c:formatCode>
                <c:ptCount val="4"/>
                <c:pt idx="0">
                  <c:v>2.8094026953624964</c:v>
                </c:pt>
                <c:pt idx="1">
                  <c:v>2.4799926349855714</c:v>
                </c:pt>
                <c:pt idx="2">
                  <c:v>2.100060828882572</c:v>
                </c:pt>
                <c:pt idx="3">
                  <c:v>1.98813277947766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C6-4452-B7EA-A05DB8B6F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033023"/>
        <c:axId val="584033503"/>
      </c:scatterChart>
      <c:valAx>
        <c:axId val="58403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1/T</a:t>
                </a:r>
              </a:p>
            </c:rich>
          </c:tx>
          <c:layout>
            <c:manualLayout>
              <c:xMode val="edge"/>
              <c:yMode val="edge"/>
              <c:x val="0.54579155200610252"/>
              <c:y val="0.83175541400738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33503"/>
        <c:crosses val="autoZero"/>
        <c:crossBetween val="midCat"/>
      </c:valAx>
      <c:valAx>
        <c:axId val="584033503"/>
        <c:scaling>
          <c:orientation val="minMax"/>
          <c:max val="3"/>
          <c:min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33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13503037563328"/>
          <c:y val="9.9994462158331382E-2"/>
          <c:w val="0.76519023185849999"/>
          <c:h val="0.7109072032352969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Sheet1!$Q$20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165184066958718"/>
                  <c:y val="0.331444782188735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Sheet1!$P$21:$P$24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Sheet1!$Q$21:$Q$24</c:f>
              <c:numCache>
                <c:formatCode>General</c:formatCode>
                <c:ptCount val="4"/>
                <c:pt idx="0">
                  <c:v>2.2227361649936284</c:v>
                </c:pt>
                <c:pt idx="1">
                  <c:v>2.1236620101592036</c:v>
                </c:pt>
                <c:pt idx="2">
                  <c:v>1.5505974124111672</c:v>
                </c:pt>
                <c:pt idx="3">
                  <c:v>1.2896675254308176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F7-4FDA-B58E-28E9EEBDB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631071"/>
        <c:axId val="707640191"/>
      </c:scatterChart>
      <c:valAx>
        <c:axId val="70763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40191"/>
        <c:crosses val="autoZero"/>
        <c:crossBetween val="midCat"/>
      </c:valAx>
      <c:valAx>
        <c:axId val="707640191"/>
        <c:scaling>
          <c:orientation val="minMax"/>
          <c:max val="3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3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9418631830408"/>
          <c:y val="3.1676155968801606E-2"/>
          <c:w val="0.78889802466817538"/>
          <c:h val="0.789487434817838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Sheet1!$I$34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Sheet1!$I$35:$I$38</c:f>
              <c:numCache>
                <c:formatCode>General</c:formatCode>
                <c:ptCount val="4"/>
                <c:pt idx="0">
                  <c:v>94.318181818181813</c:v>
                </c:pt>
                <c:pt idx="1">
                  <c:v>92.272727272727266</c:v>
                </c:pt>
                <c:pt idx="2">
                  <c:v>89.090909090909093</c:v>
                </c:pt>
                <c:pt idx="3">
                  <c:v>87.954545454545453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24-4562-802D-435F196DFAF2}"/>
            </c:ext>
          </c:extLst>
        </c:ser>
        <c:ser>
          <c:idx val="1"/>
          <c:order val="1"/>
          <c:tx>
            <c:strRef>
              <c:f>Sheet1!$J$34</c:f>
              <c:strCache>
                <c:ptCount val="1"/>
                <c:pt idx="0">
                  <c:v>GO-MCC90µm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90.227272727272734</c:v>
                </c:pt>
                <c:pt idx="1">
                  <c:v>89.318181818181841</c:v>
                </c:pt>
                <c:pt idx="2">
                  <c:v>82.5</c:v>
                </c:pt>
                <c:pt idx="3">
                  <c:v>78.409090909090892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24-4562-802D-435F196DFAF2}"/>
            </c:ext>
          </c:extLst>
        </c:ser>
        <c:ser>
          <c:idx val="2"/>
          <c:order val="2"/>
          <c:tx>
            <c:strRef>
              <c:f>Sheet1!$K$34</c:f>
              <c:strCache>
                <c:ptCount val="1"/>
                <c:pt idx="0">
                  <c:v>GO-MCC50µm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Sheet1!$K$35:$K$38</c:f>
              <c:numCache>
                <c:formatCode>General</c:formatCode>
                <c:ptCount val="4"/>
                <c:pt idx="0">
                  <c:v>92.72727272727272</c:v>
                </c:pt>
                <c:pt idx="1">
                  <c:v>90.909090909090907</c:v>
                </c:pt>
                <c:pt idx="2">
                  <c:v>83.181818181818159</c:v>
                </c:pt>
                <c:pt idx="3">
                  <c:v>77.499999999999972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24-4562-802D-435F196DF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03551"/>
        <c:axId val="703604991"/>
      </c:scatterChart>
      <c:valAx>
        <c:axId val="70360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 (K)</a:t>
                </a:r>
              </a:p>
            </c:rich>
          </c:tx>
          <c:layout>
            <c:manualLayout>
              <c:xMode val="edge"/>
              <c:yMode val="edge"/>
              <c:x val="0.30416074896410578"/>
              <c:y val="0.874991192756536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3604991"/>
        <c:crosses val="autoZero"/>
        <c:crossBetween val="midCat"/>
      </c:valAx>
      <c:valAx>
        <c:axId val="703604991"/>
        <c:scaling>
          <c:orientation val="minMax"/>
          <c:min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 </a:t>
                </a:r>
              </a:p>
            </c:rich>
          </c:tx>
          <c:layout>
            <c:manualLayout>
              <c:xMode val="edge"/>
              <c:yMode val="edge"/>
              <c:x val="8.3334270826191589E-3"/>
              <c:y val="0.112937655654958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360355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1827104351245532"/>
          <c:y val="4.2191290110631441E-2"/>
          <c:w val="0.32193995321785523"/>
          <c:h val="0.17997739865850099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84780556741087"/>
          <c:y val="2.5841396691278756E-2"/>
          <c:w val="0.7940442711699921"/>
          <c:h val="0.73933660350210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Sheet1!$Q$27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933310783648762E-2"/>
                  <c:y val="0.382062206804524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Sheet1!$P$28:$P$31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Sheet1!$Q$28:$Q$31</c:f>
              <c:numCache>
                <c:formatCode>General</c:formatCode>
                <c:ptCount val="4"/>
                <c:pt idx="0">
                  <c:v>2.5455312716044323</c:v>
                </c:pt>
                <c:pt idx="1">
                  <c:v>2.302585092994045</c:v>
                </c:pt>
                <c:pt idx="2">
                  <c:v>1.5985682401971959</c:v>
                </c:pt>
                <c:pt idx="3">
                  <c:v>1.236762627148926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9-4DB7-B5E7-4D9FCC7B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791679"/>
        <c:axId val="1452802719"/>
      </c:scatterChart>
      <c:valAx>
        <c:axId val="145279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802719"/>
        <c:crosses val="autoZero"/>
        <c:crossBetween val="midCat"/>
      </c:valAx>
      <c:valAx>
        <c:axId val="1452802719"/>
        <c:scaling>
          <c:orientation val="minMax"/>
          <c:max val="3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79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287767</xdr:colOff>
      <xdr:row>1</xdr:row>
      <xdr:rowOff>32644</xdr:rowOff>
    </xdr:from>
    <xdr:to>
      <xdr:col>24</xdr:col>
      <xdr:colOff>379538</xdr:colOff>
      <xdr:row>15</xdr:row>
      <xdr:rowOff>67235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19DBBF-8635-C985-C2D4-9366909A2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70117</xdr:colOff>
      <xdr:row>15</xdr:row>
      <xdr:rowOff>11205</xdr:rowOff>
    </xdr:from>
    <xdr:to>
      <xdr:col>30</xdr:col>
      <xdr:colOff>235324</xdr:colOff>
      <xdr:row>31</xdr:row>
      <xdr:rowOff>33617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0787C9-FDD7-9770-8631-A88904249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256761</xdr:colOff>
      <xdr:row>37</xdr:row>
      <xdr:rowOff>41564</xdr:rowOff>
    </xdr:from>
    <xdr:to>
      <xdr:col>17</xdr:col>
      <xdr:colOff>471055</xdr:colOff>
      <xdr:row>56</xdr:row>
      <xdr:rowOff>91108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23713C3-A3A1-F92C-6F23-51A772896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106212</xdr:colOff>
      <xdr:row>30</xdr:row>
      <xdr:rowOff>11205</xdr:rowOff>
    </xdr:from>
    <xdr:to>
      <xdr:col>25</xdr:col>
      <xdr:colOff>369794</xdr:colOff>
      <xdr:row>46</xdr:row>
      <xdr:rowOff>171597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460E9-3D3F-CA51-39AB-49C562AC2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Q38"/>
  <sheetViews>
    <sheetView tabSelected="1" zoomScale="55" zoomScaleNormal="55" workbookViewId="0">
      <selection activeCell="B14" sqref="B14"/>
    </sheetView>
  </sheetViews>
  <sheetFormatPr defaultRowHeight="14.4" x14ac:dyDescent="0.3"/>
  <sheetData>
    <row r="3" spans="1:17" x14ac:dyDescent="0.3">
      <c r="B3" t="s">
        <v>6</v>
      </c>
      <c r="C3" t="s">
        <v>1</v>
      </c>
    </row>
    <row r="4" spans="1:17" x14ac:dyDescent="0.3">
      <c r="B4">
        <v>1</v>
      </c>
      <c r="C4">
        <v>8.8319999999999996E-2</v>
      </c>
    </row>
    <row r="5" spans="1:17" x14ac:dyDescent="0.3">
      <c r="B5">
        <v>2</v>
      </c>
      <c r="C5">
        <v>9.6560000000000007E-2</v>
      </c>
    </row>
    <row r="6" spans="1:17" x14ac:dyDescent="0.3">
      <c r="B6">
        <v>5</v>
      </c>
      <c r="C6">
        <v>0.11438</v>
      </c>
    </row>
    <row r="7" spans="1:17" x14ac:dyDescent="0.3">
      <c r="B7">
        <v>10</v>
      </c>
      <c r="C7">
        <v>0.13367999999999999</v>
      </c>
    </row>
    <row r="8" spans="1:17" x14ac:dyDescent="0.3">
      <c r="B8">
        <v>20</v>
      </c>
      <c r="C8">
        <v>0.17385999999999999</v>
      </c>
    </row>
    <row r="11" spans="1:17" x14ac:dyDescent="0.3">
      <c r="A11" t="s">
        <v>17</v>
      </c>
    </row>
    <row r="12" spans="1:17" x14ac:dyDescent="0.3">
      <c r="P12" t="s">
        <v>17</v>
      </c>
    </row>
    <row r="13" spans="1:17" x14ac:dyDescent="0.3">
      <c r="B13" t="s">
        <v>7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10</v>
      </c>
      <c r="I13" t="s">
        <v>11</v>
      </c>
      <c r="J13" t="s">
        <v>12</v>
      </c>
      <c r="K13" t="s">
        <v>13</v>
      </c>
      <c r="L13" t="s">
        <v>14</v>
      </c>
      <c r="M13" t="s">
        <v>15</v>
      </c>
      <c r="N13" t="s">
        <v>16</v>
      </c>
      <c r="P13" t="s">
        <v>13</v>
      </c>
      <c r="Q13" t="s">
        <v>12</v>
      </c>
    </row>
    <row r="14" spans="1:17" x14ac:dyDescent="0.3">
      <c r="B14">
        <f>25+273</f>
        <v>298</v>
      </c>
      <c r="C14">
        <v>9.06E-2</v>
      </c>
      <c r="D14">
        <v>10</v>
      </c>
      <c r="E14">
        <f t="shared" ref="E14:E28" si="0">(C14-0.0881)/0.0044</f>
        <v>0.56818181818181868</v>
      </c>
      <c r="F14">
        <f>D14-E14</f>
        <v>9.4318181818181817</v>
      </c>
      <c r="G14">
        <f>(F14*100)/D14</f>
        <v>94.318181818181813</v>
      </c>
      <c r="H14">
        <f>((D14-E14)*0.01)/0.01</f>
        <v>9.4318181818181817</v>
      </c>
      <c r="I14">
        <f>H14/E14</f>
        <v>16.599999999999984</v>
      </c>
      <c r="J14">
        <f>LN(I14)</f>
        <v>2.8094026953624964</v>
      </c>
      <c r="K14">
        <f>1/B14</f>
        <v>3.3557046979865771E-3</v>
      </c>
      <c r="L14">
        <f>8.314*B14*J14</f>
        <v>6960.4974547546517</v>
      </c>
      <c r="M14">
        <f>(L14)*-1</f>
        <v>-6960.4974547546517</v>
      </c>
      <c r="N14">
        <f>M14/1000</f>
        <v>-6.9604974547546519</v>
      </c>
      <c r="P14">
        <v>3.3557046979865771E-3</v>
      </c>
      <c r="Q14">
        <v>2.8094026953624964</v>
      </c>
    </row>
    <row r="15" spans="1:17" x14ac:dyDescent="0.3">
      <c r="B15">
        <f>30+273</f>
        <v>303</v>
      </c>
      <c r="C15">
        <v>9.1499999999999998E-2</v>
      </c>
      <c r="D15">
        <v>10</v>
      </c>
      <c r="E15">
        <f t="shared" si="0"/>
        <v>0.77272727272727271</v>
      </c>
      <c r="F15">
        <f t="shared" ref="F15:F31" si="1">D15-E15</f>
        <v>9.2272727272727266</v>
      </c>
      <c r="G15">
        <f t="shared" ref="G15:G31" si="2">(F15*100)/D15</f>
        <v>92.272727272727266</v>
      </c>
      <c r="H15">
        <f t="shared" ref="H15:H31" si="3">((D15-E15)*0.01)/0.01</f>
        <v>9.2272727272727266</v>
      </c>
      <c r="I15">
        <f t="shared" ref="I15:I31" si="4">H15/E15</f>
        <v>11.941176470588236</v>
      </c>
      <c r="J15">
        <f t="shared" ref="J15:J31" si="5">LN(I15)</f>
        <v>2.4799926349855714</v>
      </c>
      <c r="K15">
        <f t="shared" ref="K15:K31" si="6">1/B15</f>
        <v>3.3003300330033004E-3</v>
      </c>
      <c r="L15">
        <f t="shared" ref="L15:L31" si="7">8.314*B15*J15</f>
        <v>6247.4536064828217</v>
      </c>
      <c r="M15">
        <f t="shared" ref="M15:M31" si="8">(L15)*-1</f>
        <v>-6247.4536064828217</v>
      </c>
      <c r="N15">
        <f t="shared" ref="N15:N31" si="9">M15/1000</f>
        <v>-6.2474536064828214</v>
      </c>
      <c r="P15">
        <v>3.3003300330033004E-3</v>
      </c>
      <c r="Q15">
        <v>2.4799926349855714</v>
      </c>
    </row>
    <row r="16" spans="1:17" x14ac:dyDescent="0.3">
      <c r="B16">
        <f>35+273</f>
        <v>308</v>
      </c>
      <c r="C16">
        <v>9.2899999999999996E-2</v>
      </c>
      <c r="D16">
        <v>10</v>
      </c>
      <c r="E16">
        <f t="shared" si="0"/>
        <v>1.0909090909090906</v>
      </c>
      <c r="F16">
        <f t="shared" si="1"/>
        <v>8.9090909090909101</v>
      </c>
      <c r="G16">
        <f t="shared" si="2"/>
        <v>89.090909090909093</v>
      </c>
      <c r="H16">
        <f t="shared" si="3"/>
        <v>8.9090909090909101</v>
      </c>
      <c r="I16">
        <f t="shared" si="4"/>
        <v>8.1666666666666696</v>
      </c>
      <c r="J16">
        <f t="shared" si="5"/>
        <v>2.100060828882572</v>
      </c>
      <c r="K16">
        <f t="shared" si="6"/>
        <v>3.246753246753247E-3</v>
      </c>
      <c r="L16">
        <f t="shared" si="7"/>
        <v>5377.6509652495488</v>
      </c>
      <c r="M16">
        <f t="shared" si="8"/>
        <v>-5377.6509652495488</v>
      </c>
      <c r="N16">
        <f t="shared" si="9"/>
        <v>-5.3776509652495488</v>
      </c>
      <c r="P16">
        <v>3.246753246753247E-3</v>
      </c>
      <c r="Q16">
        <v>2.100060828882572</v>
      </c>
    </row>
    <row r="17" spans="1:17" x14ac:dyDescent="0.3">
      <c r="B17">
        <f>40+273</f>
        <v>313</v>
      </c>
      <c r="C17">
        <v>9.3399999999999997E-2</v>
      </c>
      <c r="D17">
        <v>10</v>
      </c>
      <c r="E17">
        <f t="shared" si="0"/>
        <v>1.2045454545454544</v>
      </c>
      <c r="F17">
        <f t="shared" si="1"/>
        <v>8.795454545454545</v>
      </c>
      <c r="G17">
        <f t="shared" si="2"/>
        <v>87.954545454545453</v>
      </c>
      <c r="H17">
        <f t="shared" si="3"/>
        <v>8.795454545454545</v>
      </c>
      <c r="I17">
        <f t="shared" si="4"/>
        <v>7.301886792452831</v>
      </c>
      <c r="J17">
        <f t="shared" si="5"/>
        <v>1.98813277947766</v>
      </c>
      <c r="K17">
        <f t="shared" si="6"/>
        <v>3.1948881789137379E-3</v>
      </c>
      <c r="L17">
        <f t="shared" si="7"/>
        <v>5173.6821456446842</v>
      </c>
      <c r="M17">
        <f t="shared" si="8"/>
        <v>-5173.6821456446842</v>
      </c>
      <c r="N17">
        <f t="shared" si="9"/>
        <v>-5.1736821456446842</v>
      </c>
      <c r="P17">
        <v>3.1948881789137379E-3</v>
      </c>
      <c r="Q17">
        <v>1.98813277947766</v>
      </c>
    </row>
    <row r="18" spans="1:17" x14ac:dyDescent="0.3">
      <c r="A18" t="s">
        <v>9</v>
      </c>
    </row>
    <row r="19" spans="1:17" x14ac:dyDescent="0.3">
      <c r="P19" t="s">
        <v>9</v>
      </c>
    </row>
    <row r="20" spans="1:17" x14ac:dyDescent="0.3">
      <c r="B20" t="s">
        <v>7</v>
      </c>
      <c r="C20" t="s">
        <v>1</v>
      </c>
      <c r="F20" t="s">
        <v>4</v>
      </c>
      <c r="G20" t="s">
        <v>5</v>
      </c>
      <c r="H20" t="s">
        <v>10</v>
      </c>
      <c r="I20" t="s">
        <v>11</v>
      </c>
      <c r="J20" t="s">
        <v>12</v>
      </c>
      <c r="K20" t="s">
        <v>13</v>
      </c>
      <c r="L20" t="s">
        <v>14</v>
      </c>
      <c r="M20" t="s">
        <v>15</v>
      </c>
      <c r="N20" t="s">
        <v>16</v>
      </c>
      <c r="P20" t="s">
        <v>13</v>
      </c>
      <c r="Q20" t="s">
        <v>12</v>
      </c>
    </row>
    <row r="21" spans="1:17" x14ac:dyDescent="0.3">
      <c r="B21">
        <f>25+273</f>
        <v>298</v>
      </c>
      <c r="C21">
        <v>9.2399999999999996E-2</v>
      </c>
      <c r="D21">
        <v>10</v>
      </c>
      <c r="E21">
        <f t="shared" si="0"/>
        <v>0.97727272727272685</v>
      </c>
      <c r="F21">
        <f t="shared" si="1"/>
        <v>9.0227272727272734</v>
      </c>
      <c r="G21">
        <f t="shared" si="2"/>
        <v>90.227272727272734</v>
      </c>
      <c r="H21">
        <f t="shared" si="3"/>
        <v>9.0227272727272734</v>
      </c>
      <c r="I21">
        <f t="shared" si="4"/>
        <v>9.2325581395348877</v>
      </c>
      <c r="J21">
        <f t="shared" si="5"/>
        <v>2.2227361649936284</v>
      </c>
      <c r="K21">
        <f t="shared" si="6"/>
        <v>3.3557046979865771E-3</v>
      </c>
      <c r="L21">
        <f t="shared" si="7"/>
        <v>5506.9888857755941</v>
      </c>
      <c r="M21">
        <f t="shared" si="8"/>
        <v>-5506.9888857755941</v>
      </c>
      <c r="N21">
        <f t="shared" si="9"/>
        <v>-5.506988885775594</v>
      </c>
      <c r="P21">
        <v>3.3557046979865771E-3</v>
      </c>
      <c r="Q21">
        <v>2.2227361649936284</v>
      </c>
    </row>
    <row r="22" spans="1:17" x14ac:dyDescent="0.3">
      <c r="B22">
        <f>30+273</f>
        <v>303</v>
      </c>
      <c r="C22">
        <v>9.2799999999999994E-2</v>
      </c>
      <c r="D22">
        <v>10</v>
      </c>
      <c r="E22">
        <f t="shared" si="0"/>
        <v>1.0681818181818172</v>
      </c>
      <c r="F22">
        <f t="shared" si="1"/>
        <v>8.9318181818181834</v>
      </c>
      <c r="G22">
        <f t="shared" si="2"/>
        <v>89.318181818181841</v>
      </c>
      <c r="H22">
        <f t="shared" si="3"/>
        <v>8.9318181818181834</v>
      </c>
      <c r="I22">
        <f t="shared" si="4"/>
        <v>8.3617021276595835</v>
      </c>
      <c r="J22">
        <f t="shared" si="5"/>
        <v>2.1236620101592036</v>
      </c>
      <c r="K22">
        <f t="shared" si="6"/>
        <v>3.3003300330033004E-3</v>
      </c>
      <c r="L22">
        <f t="shared" si="7"/>
        <v>5349.8061635964759</v>
      </c>
      <c r="M22">
        <f t="shared" si="8"/>
        <v>-5349.8061635964759</v>
      </c>
      <c r="N22">
        <f t="shared" si="9"/>
        <v>-5.349806163596476</v>
      </c>
      <c r="P22">
        <v>3.3003300330033004E-3</v>
      </c>
      <c r="Q22">
        <v>2.1236620101592036</v>
      </c>
    </row>
    <row r="23" spans="1:17" x14ac:dyDescent="0.3">
      <c r="B23">
        <f>35+273</f>
        <v>308</v>
      </c>
      <c r="C23">
        <v>9.5799999999999996E-2</v>
      </c>
      <c r="D23">
        <v>10</v>
      </c>
      <c r="E23">
        <f t="shared" si="0"/>
        <v>1.7499999999999996</v>
      </c>
      <c r="F23">
        <f t="shared" si="1"/>
        <v>8.25</v>
      </c>
      <c r="G23">
        <f t="shared" si="2"/>
        <v>82.5</v>
      </c>
      <c r="H23">
        <f t="shared" si="3"/>
        <v>8.25</v>
      </c>
      <c r="I23">
        <f t="shared" si="4"/>
        <v>4.7142857142857153</v>
      </c>
      <c r="J23">
        <f t="shared" si="5"/>
        <v>1.5505974124111672</v>
      </c>
      <c r="K23">
        <f t="shared" si="6"/>
        <v>3.246753246753247E-3</v>
      </c>
      <c r="L23">
        <f t="shared" si="7"/>
        <v>3970.6334011302247</v>
      </c>
      <c r="M23">
        <f t="shared" si="8"/>
        <v>-3970.6334011302247</v>
      </c>
      <c r="N23">
        <f t="shared" si="9"/>
        <v>-3.9706334011302249</v>
      </c>
      <c r="P23">
        <v>3.246753246753247E-3</v>
      </c>
      <c r="Q23">
        <v>1.5505974124111672</v>
      </c>
    </row>
    <row r="24" spans="1:17" x14ac:dyDescent="0.3">
      <c r="B24">
        <f>40+273</f>
        <v>313</v>
      </c>
      <c r="C24">
        <v>9.7600000000000006E-2</v>
      </c>
      <c r="D24">
        <v>10</v>
      </c>
      <c r="E24">
        <f t="shared" si="0"/>
        <v>2.1590909090909109</v>
      </c>
      <c r="F24">
        <f t="shared" si="1"/>
        <v>7.8409090909090891</v>
      </c>
      <c r="G24">
        <f t="shared" si="2"/>
        <v>78.409090909090892</v>
      </c>
      <c r="H24">
        <f t="shared" si="3"/>
        <v>7.8409090909090882</v>
      </c>
      <c r="I24">
        <f t="shared" si="4"/>
        <v>3.6315789473684168</v>
      </c>
      <c r="J24">
        <f t="shared" si="5"/>
        <v>1.2896675254308176</v>
      </c>
      <c r="K24">
        <f t="shared" si="6"/>
        <v>3.1948881789137379E-3</v>
      </c>
      <c r="L24">
        <f t="shared" si="7"/>
        <v>3356.0785874131593</v>
      </c>
      <c r="M24">
        <f t="shared" si="8"/>
        <v>-3356.0785874131593</v>
      </c>
      <c r="N24">
        <f t="shared" si="9"/>
        <v>-3.3560785874131591</v>
      </c>
      <c r="P24">
        <v>3.1948881789137379E-3</v>
      </c>
      <c r="Q24">
        <v>1.2896675254308176</v>
      </c>
    </row>
    <row r="25" spans="1:17" x14ac:dyDescent="0.3">
      <c r="A25" t="s">
        <v>8</v>
      </c>
    </row>
    <row r="26" spans="1:17" x14ac:dyDescent="0.3">
      <c r="P26" t="s">
        <v>8</v>
      </c>
    </row>
    <row r="27" spans="1:17" x14ac:dyDescent="0.3">
      <c r="B27" t="s">
        <v>7</v>
      </c>
      <c r="C27" t="s">
        <v>1</v>
      </c>
      <c r="F27" t="s">
        <v>4</v>
      </c>
      <c r="G27" t="s">
        <v>5</v>
      </c>
      <c r="H27" t="s">
        <v>10</v>
      </c>
      <c r="I27" t="s">
        <v>11</v>
      </c>
      <c r="J27" t="s">
        <v>12</v>
      </c>
      <c r="K27" t="s">
        <v>13</v>
      </c>
      <c r="L27" t="s">
        <v>14</v>
      </c>
      <c r="M27" t="s">
        <v>15</v>
      </c>
      <c r="N27" t="s">
        <v>16</v>
      </c>
      <c r="P27" t="s">
        <v>13</v>
      </c>
      <c r="Q27" t="s">
        <v>12</v>
      </c>
    </row>
    <row r="28" spans="1:17" x14ac:dyDescent="0.3">
      <c r="B28">
        <f>25+273</f>
        <v>298</v>
      </c>
      <c r="C28">
        <v>9.1300000000000006E-2</v>
      </c>
      <c r="D28">
        <v>10</v>
      </c>
      <c r="E28">
        <f t="shared" si="0"/>
        <v>0.72727272727272918</v>
      </c>
      <c r="F28">
        <f t="shared" si="1"/>
        <v>9.2727272727272716</v>
      </c>
      <c r="G28">
        <f t="shared" si="2"/>
        <v>92.72727272727272</v>
      </c>
      <c r="H28">
        <f t="shared" si="3"/>
        <v>9.2727272727272716</v>
      </c>
      <c r="I28">
        <f t="shared" si="4"/>
        <v>12.749999999999964</v>
      </c>
      <c r="J28">
        <f t="shared" si="5"/>
        <v>2.5455312716044323</v>
      </c>
      <c r="K28">
        <f t="shared" si="6"/>
        <v>3.3557046979865771E-3</v>
      </c>
      <c r="L28">
        <f t="shared" si="7"/>
        <v>6306.7370036515367</v>
      </c>
      <c r="M28">
        <f t="shared" si="8"/>
        <v>-6306.7370036515367</v>
      </c>
      <c r="N28">
        <f t="shared" si="9"/>
        <v>-6.3067370036515369</v>
      </c>
      <c r="P28">
        <v>3.3557046979865771E-3</v>
      </c>
      <c r="Q28">
        <v>2.5455312716044323</v>
      </c>
    </row>
    <row r="29" spans="1:17" x14ac:dyDescent="0.3">
      <c r="B29">
        <f>30+273</f>
        <v>303</v>
      </c>
      <c r="C29">
        <v>9.2100000000000001E-2</v>
      </c>
      <c r="D29">
        <v>10</v>
      </c>
      <c r="E29">
        <f>(C29-0.0881)/0.0044</f>
        <v>0.90909090909090984</v>
      </c>
      <c r="F29">
        <f t="shared" si="1"/>
        <v>9.0909090909090899</v>
      </c>
      <c r="G29">
        <f t="shared" si="2"/>
        <v>90.909090909090907</v>
      </c>
      <c r="H29">
        <f t="shared" si="3"/>
        <v>9.0909090909090899</v>
      </c>
      <c r="I29">
        <f t="shared" si="4"/>
        <v>9.9999999999999911</v>
      </c>
      <c r="J29">
        <f t="shared" si="5"/>
        <v>2.302585092994045</v>
      </c>
      <c r="K29">
        <f t="shared" si="6"/>
        <v>3.3003300330033004E-3</v>
      </c>
      <c r="L29">
        <f t="shared" si="7"/>
        <v>5800.5388163352045</v>
      </c>
      <c r="M29">
        <f t="shared" si="8"/>
        <v>-5800.5388163352045</v>
      </c>
      <c r="N29">
        <f t="shared" si="9"/>
        <v>-5.8005388163352043</v>
      </c>
      <c r="P29">
        <v>3.3003300330033004E-3</v>
      </c>
      <c r="Q29">
        <v>2.302585092994045</v>
      </c>
    </row>
    <row r="30" spans="1:17" x14ac:dyDescent="0.3">
      <c r="B30">
        <f>35+273</f>
        <v>308</v>
      </c>
      <c r="C30">
        <v>9.5500000000000002E-2</v>
      </c>
      <c r="D30">
        <v>10</v>
      </c>
      <c r="E30">
        <f>(C30-0.0881)/0.0044</f>
        <v>1.6818181818181825</v>
      </c>
      <c r="F30">
        <f t="shared" si="1"/>
        <v>8.3181818181818166</v>
      </c>
      <c r="G30">
        <f t="shared" si="2"/>
        <v>83.181818181818159</v>
      </c>
      <c r="H30">
        <f t="shared" si="3"/>
        <v>8.3181818181818166</v>
      </c>
      <c r="I30">
        <f t="shared" si="4"/>
        <v>4.9459459459459429</v>
      </c>
      <c r="J30">
        <f t="shared" si="5"/>
        <v>1.5985682401971959</v>
      </c>
      <c r="K30">
        <f t="shared" si="6"/>
        <v>3.246753246753247E-3</v>
      </c>
      <c r="L30">
        <f t="shared" si="7"/>
        <v>4093.4728754918419</v>
      </c>
      <c r="M30">
        <f t="shared" si="8"/>
        <v>-4093.4728754918419</v>
      </c>
      <c r="N30">
        <f t="shared" si="9"/>
        <v>-4.0934728754918419</v>
      </c>
      <c r="P30">
        <v>3.246753246753247E-3</v>
      </c>
      <c r="Q30">
        <v>1.5985682401971959</v>
      </c>
    </row>
    <row r="31" spans="1:17" x14ac:dyDescent="0.3">
      <c r="B31">
        <f>40+273</f>
        <v>313</v>
      </c>
      <c r="C31">
        <v>9.8000000000000004E-2</v>
      </c>
      <c r="D31">
        <v>10</v>
      </c>
      <c r="E31">
        <f>(C31-0.0881)/0.0044</f>
        <v>2.2500000000000013</v>
      </c>
      <c r="F31">
        <f t="shared" si="1"/>
        <v>7.7499999999999982</v>
      </c>
      <c r="G31">
        <f t="shared" si="2"/>
        <v>77.499999999999972</v>
      </c>
      <c r="H31">
        <f t="shared" si="3"/>
        <v>7.7499999999999982</v>
      </c>
      <c r="I31">
        <f t="shared" si="4"/>
        <v>3.4444444444444415</v>
      </c>
      <c r="J31">
        <f t="shared" si="5"/>
        <v>1.236762627148926</v>
      </c>
      <c r="K31">
        <f t="shared" si="6"/>
        <v>3.1948881789137379E-3</v>
      </c>
      <c r="L31">
        <f t="shared" si="7"/>
        <v>3218.4051229023617</v>
      </c>
      <c r="M31">
        <f t="shared" si="8"/>
        <v>-3218.4051229023617</v>
      </c>
      <c r="N31">
        <f t="shared" si="9"/>
        <v>-3.2184051229023618</v>
      </c>
      <c r="P31">
        <v>3.1948881789137379E-3</v>
      </c>
      <c r="Q31">
        <v>1.236762627148926</v>
      </c>
    </row>
    <row r="34" spans="8:11" x14ac:dyDescent="0.3">
      <c r="H34" t="s">
        <v>0</v>
      </c>
      <c r="I34" t="s">
        <v>17</v>
      </c>
      <c r="J34" t="s">
        <v>19</v>
      </c>
      <c r="K34" t="s">
        <v>18</v>
      </c>
    </row>
    <row r="35" spans="8:11" x14ac:dyDescent="0.3">
      <c r="H35">
        <v>298</v>
      </c>
      <c r="I35">
        <v>94.318181818181813</v>
      </c>
      <c r="J35">
        <v>90.227272727272734</v>
      </c>
      <c r="K35">
        <v>92.72727272727272</v>
      </c>
    </row>
    <row r="36" spans="8:11" x14ac:dyDescent="0.3">
      <c r="H36">
        <v>303</v>
      </c>
      <c r="I36">
        <v>92.272727272727266</v>
      </c>
      <c r="J36">
        <v>89.318181818181841</v>
      </c>
      <c r="K36">
        <v>90.909090909090907</v>
      </c>
    </row>
    <row r="37" spans="8:11" x14ac:dyDescent="0.3">
      <c r="H37">
        <v>308</v>
      </c>
      <c r="I37">
        <v>89.090909090909093</v>
      </c>
      <c r="J37">
        <v>82.5</v>
      </c>
      <c r="K37">
        <v>83.181818181818159</v>
      </c>
    </row>
    <row r="38" spans="8:11" x14ac:dyDescent="0.3">
      <c r="H38">
        <v>313</v>
      </c>
      <c r="I38">
        <v>87.954545454545453</v>
      </c>
      <c r="J38">
        <v>78.409090909090892</v>
      </c>
      <c r="K38">
        <v>77.499999999999972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