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6B5563A3-F302-4CDA-B01D-C10660069CFF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F28" i="1"/>
  <c r="G28" i="1" s="1"/>
  <c r="F27" i="1"/>
  <c r="G27" i="1" s="1"/>
  <c r="F26" i="1"/>
  <c r="G26" i="1" s="1"/>
  <c r="E25" i="1"/>
  <c r="E24" i="1"/>
  <c r="E23" i="1"/>
  <c r="F23" i="1" s="1"/>
  <c r="G23" i="1" s="1"/>
  <c r="E22" i="1"/>
  <c r="F24" i="1"/>
  <c r="G24" i="1" s="1"/>
  <c r="F22" i="1"/>
  <c r="G22" i="1" s="1"/>
  <c r="F25" i="1"/>
  <c r="G25" i="1" s="1"/>
  <c r="E55" i="1"/>
  <c r="F55" i="1" s="1"/>
  <c r="G55" i="1" s="1"/>
  <c r="E56" i="1"/>
  <c r="F56" i="1" s="1"/>
  <c r="G56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 s="1"/>
  <c r="G60" i="1" s="1"/>
  <c r="E61" i="1"/>
  <c r="E32" i="1"/>
  <c r="F32" i="1" s="1"/>
  <c r="G32" i="1" s="1"/>
  <c r="E33" i="1"/>
  <c r="F33" i="1" s="1"/>
  <c r="G33" i="1" s="1"/>
  <c r="E34" i="1"/>
  <c r="F34" i="1" s="1"/>
  <c r="G34" i="1" s="1"/>
  <c r="E35" i="1"/>
  <c r="F35" i="1" s="1"/>
  <c r="G35" i="1" s="1"/>
  <c r="E36" i="1"/>
  <c r="F36" i="1" s="1"/>
  <c r="G36" i="1" s="1"/>
  <c r="E37" i="1"/>
  <c r="F37" i="1" s="1"/>
  <c r="G37" i="1" s="1"/>
  <c r="E38" i="1"/>
  <c r="F38" i="1" s="1"/>
  <c r="G38" i="1" s="1"/>
  <c r="E42" i="1"/>
  <c r="F42" i="1" s="1"/>
  <c r="G42" i="1" s="1"/>
  <c r="E43" i="1"/>
  <c r="F43" i="1" s="1"/>
  <c r="G43" i="1" s="1"/>
  <c r="E44" i="1"/>
  <c r="F44" i="1" s="1"/>
  <c r="G44" i="1" s="1"/>
  <c r="E45" i="1"/>
  <c r="F45" i="1" s="1"/>
  <c r="G45" i="1" s="1"/>
  <c r="E46" i="1"/>
  <c r="F46" i="1" s="1"/>
  <c r="G46" i="1" s="1"/>
  <c r="E47" i="1"/>
  <c r="F47" i="1" s="1"/>
  <c r="G47" i="1" s="1"/>
  <c r="E48" i="1"/>
  <c r="F48" i="1" s="1"/>
  <c r="G48" i="1" s="1"/>
  <c r="F61" i="1"/>
  <c r="G61" i="1" s="1"/>
</calcChain>
</file>

<file path=xl/sharedStrings.xml><?xml version="1.0" encoding="utf-8"?>
<sst xmlns="http://schemas.openxmlformats.org/spreadsheetml/2006/main" count="18" uniqueCount="13">
  <si>
    <t>pH</t>
  </si>
  <si>
    <t>conc. Mg/L</t>
  </si>
  <si>
    <t>Absorbance</t>
  </si>
  <si>
    <t>GO-Chitosan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</si>
  <si>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</si>
  <si>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</si>
  <si>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</si>
  <si>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</si>
  <si>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</si>
  <si>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</si>
  <si>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</si>
  <si>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</si>
  <si>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GO-CS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</si>
</sst>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6400200667438"/>
                  <c:y val="0.20997225425589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424721538208"/>
          <c:y val="3.2490435060379401E-2"/>
          <c:w val="0.7915844633055833"/>
          <c:h val="0.765141380268471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Sheet1!$K$21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Sheet1!$K$22:$K$28</c:f>
              <c:numCache>
                <c:formatCode>General</c:formatCode>
                <c:ptCount val="7"/>
                <c:pt idx="0">
                  <c:v>62.990099009900995</c:v>
                </c:pt>
                <c:pt idx="1">
                  <c:v>82.851485148514854</c:v>
                </c:pt>
                <c:pt idx="2">
                  <c:v>87.267326732673268</c:v>
                </c:pt>
                <c:pt idx="3">
                  <c:v>89.029702970297038</c:v>
                </c:pt>
                <c:pt idx="4">
                  <c:v>88.712871287128721</c:v>
                </c:pt>
                <c:pt idx="5">
                  <c:v>81.188118811881196</c:v>
                </c:pt>
                <c:pt idx="6">
                  <c:v>61.940594059405939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B-415A-B32D-C5E260EE3E07}"/>
            </c:ext>
          </c:extLst>
        </c:ser>
        <c:ser>
          <c:idx val="1"/>
          <c:order val="1"/>
          <c:tx>
            <c:strRef>
              <c:f>Sheet1!$L$21</c:f>
              <c:strCache>
                <c:ptCount val="1"/>
                <c:pt idx="0">
                  <c:v>GO-MCC50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Sheet1!$L$22:$L$28</c:f>
              <c:numCache>
                <c:formatCode>General</c:formatCode>
                <c:ptCount val="7"/>
                <c:pt idx="0">
                  <c:v>65.881188118811878</c:v>
                </c:pt>
                <c:pt idx="1">
                  <c:v>78.544554455445535</c:v>
                </c:pt>
                <c:pt idx="2">
                  <c:v>70.099009900990097</c:v>
                </c:pt>
                <c:pt idx="3">
                  <c:v>62.574257425742573</c:v>
                </c:pt>
                <c:pt idx="4">
                  <c:v>60.772277227722761</c:v>
                </c:pt>
                <c:pt idx="5">
                  <c:v>56.930693069306926</c:v>
                </c:pt>
                <c:pt idx="6">
                  <c:v>54.138613861386133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DB-415A-B32D-C5E260EE3E07}"/>
            </c:ext>
          </c:extLst>
        </c:ser>
        <c:ser>
          <c:idx val="2"/>
          <c:order val="2"/>
          <c:tx>
            <c:strRef>
              <c:f>Sheet1!$M$21</c:f>
              <c:strCache>
                <c:ptCount val="1"/>
                <c:pt idx="0">
                  <c:v>GO-MCC90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Sheet1!$J$22:$J$28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</c:numCache>
            </c:numRef>
          </c:xVal>
          <c:yVal>
            <c:numRef>
              <c:f>Sheet1!$M$22:$M$28</c:f>
              <c:numCache>
                <c:formatCode>General</c:formatCode>
                <c:ptCount val="7"/>
                <c:pt idx="0">
                  <c:v>57.920792079207921</c:v>
                </c:pt>
                <c:pt idx="1">
                  <c:v>71.643564356435647</c:v>
                </c:pt>
                <c:pt idx="2">
                  <c:v>65.742574257425744</c:v>
                </c:pt>
                <c:pt idx="3">
                  <c:v>64.059405940594061</c:v>
                </c:pt>
                <c:pt idx="4">
                  <c:v>62.970297029702976</c:v>
                </c:pt>
                <c:pt idx="5">
                  <c:v>41.683168316831683</c:v>
                </c:pt>
                <c:pt idx="6">
                  <c:v>33.46534653465347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DB-415A-B32D-C5E260EE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979168"/>
        <c:axId val="463979648"/>
      </c:scatterChart>
      <c:valAx>
        <c:axId val="463979168"/>
        <c:scaling>
          <c:orientation val="minMax"/>
          <c:max val="10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</a:t>
                </a:r>
              </a:p>
            </c:rich>
          </c:tx>
          <c:layout>
            <c:manualLayout>
              <c:xMode val="edge"/>
              <c:yMode val="edge"/>
              <c:x val="0.51070147596862092"/>
              <c:y val="0.86489130915429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648"/>
        <c:crosses val="autoZero"/>
        <c:crossBetween val="midCat"/>
      </c:valAx>
      <c:valAx>
        <c:axId val="463979648"/>
        <c:scaling>
          <c:orientation val="minMax"/>
          <c:min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Adsorption (</a:t>
                </a: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55541615511052E-3"/>
              <c:y val="0.12719670215005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63979168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7441703756470572"/>
          <c:y val="0.6177231714746011"/>
          <c:w val="0.23819668979205622"/>
          <c:h val="0.16339729246632426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454169</xdr:colOff>
      <xdr:row>4</xdr:row>
      <xdr:rowOff>136933</xdr:rowOff>
    </xdr:from>
    <xdr:to>
      <xdr:col>22</xdr:col>
      <xdr:colOff>328841</xdr:colOff>
      <xdr:row>20</xdr:row>
      <xdr:rowOff>41516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8005E-2B69-9878-F22D-1E7596CA11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B4:N61"/>
  <sheetViews>
    <sheetView tabSelected="1" topLeftCell="A4" zoomScale="98" zoomScaleNormal="98" workbookViewId="0">
      <selection activeCell="S28" sqref="S28"/>
    </sheetView>
  </sheetViews>
  <sheetFormatPr defaultRowHeight="14.4" x14ac:dyDescent="0.3"/>
  <sheetData>
    <row r="4" spans="2:3" x14ac:dyDescent="0.3">
      <c r="B4" t="s">
        <v>1</v>
      </c>
      <c r="C4" t="s">
        <v>2</v>
      </c>
    </row>
    <row r="5" spans="2:3" x14ac:dyDescent="0.3">
      <c r="B5">
        <v>1</v>
      </c>
      <c r="C5">
        <v>3.7799999999999999E-3</v>
      </c>
    </row>
    <row r="6" spans="2:3" x14ac:dyDescent="0.3">
      <c r="B6">
        <v>2</v>
      </c>
      <c r="C6">
        <v>8.8400000000000006E-3</v>
      </c>
    </row>
    <row r="7" spans="2:3" x14ac:dyDescent="0.3">
      <c r="B7">
        <v>5</v>
      </c>
      <c r="C7">
        <v>3.9280000000000002E-2</v>
      </c>
    </row>
    <row r="8" spans="2:3" x14ac:dyDescent="0.3">
      <c r="B8">
        <v>10</v>
      </c>
      <c r="C8">
        <v>9.0980000000000005E-2</v>
      </c>
    </row>
    <row r="9" spans="2:3" x14ac:dyDescent="0.3">
      <c r="B9">
        <v>20</v>
      </c>
      <c r="C9">
        <v>0.19325999999999999</v>
      </c>
    </row>
    <row r="20" spans="2:14" ht="25.8" x14ac:dyDescent="0.5">
      <c r="D20" t="s">
        <v>6</v>
      </c>
      <c r="H20" s="4" t="s">
        <v>3</v>
      </c>
    </row>
    <row r="21" spans="2:14" x14ac:dyDescent="0.3">
      <c r="B21" t="s">
        <v>0</v>
      </c>
      <c r="C21" t="s">
        <v>4</v>
      </c>
      <c r="D21" t="s">
        <v>5</v>
      </c>
      <c r="E21" t="s">
        <v>7</v>
      </c>
      <c r="F21" t="s">
        <v>8</v>
      </c>
      <c r="G21" t="s">
        <v>9</v>
      </c>
      <c r="J21" t="s">
        <v>0</v>
      </c>
      <c r="K21" t="s">
        <v>12</v>
      </c>
      <c r="L21" t="s">
        <v>10</v>
      </c>
      <c r="M21" t="s">
        <v>11</v>
      </c>
    </row>
    <row r="22" spans="2:14" ht="15.6" x14ac:dyDescent="0.3">
      <c r="B22">
        <v>3</v>
      </c>
      <c r="C22">
        <v>2.7779999999999999E-2</v>
      </c>
      <c r="D22">
        <v>10</v>
      </c>
      <c r="E22">
        <f t="shared" ref="E22:E28" si="0">(C22+0.0096)/0.0101</f>
        <v>3.7009900990099007</v>
      </c>
      <c r="F22">
        <f>D22-E22</f>
        <v>6.2990099009900993</v>
      </c>
      <c r="G22">
        <f>(F22*100)/D22</f>
        <v>62.990099009900995</v>
      </c>
      <c r="J22" s="1">
        <v>3</v>
      </c>
      <c r="K22">
        <v>62.990099009900995</v>
      </c>
      <c r="L22">
        <v>65.881188118811878</v>
      </c>
      <c r="M22">
        <v>57.920792079207921</v>
      </c>
    </row>
    <row r="23" spans="2:14" x14ac:dyDescent="0.3">
      <c r="B23">
        <v>4</v>
      </c>
      <c r="C23">
        <v>7.7200000000000003E-3</v>
      </c>
      <c r="D23">
        <v>10</v>
      </c>
      <c r="E23">
        <f t="shared" si="0"/>
        <v>1.7148514851485148</v>
      </c>
      <c r="F23">
        <f>D23-E23</f>
        <v>8.2851485148514854</v>
      </c>
      <c r="G23">
        <f t="shared" ref="G23:G48" si="1">(F23*100)/D23</f>
        <v>82.851485148514854</v>
      </c>
      <c r="J23">
        <v>4</v>
      </c>
      <c r="K23">
        <v>82.851485148514854</v>
      </c>
      <c r="L23">
        <v>78.544554455445535</v>
      </c>
      <c r="M23">
        <v>71.643564356435647</v>
      </c>
    </row>
    <row r="24" spans="2:14" x14ac:dyDescent="0.3">
      <c r="B24">
        <v>5</v>
      </c>
      <c r="C24" s="6">
        <v>3.2599999999999999E-3</v>
      </c>
      <c r="D24">
        <v>10</v>
      </c>
      <c r="E24">
        <f t="shared" si="0"/>
        <v>1.2732673267326733</v>
      </c>
      <c r="F24">
        <f t="shared" ref="F24:F48" si="2">D24-E24</f>
        <v>8.7267326732673265</v>
      </c>
      <c r="G24">
        <f t="shared" si="1"/>
        <v>87.267326732673268</v>
      </c>
      <c r="J24">
        <v>5</v>
      </c>
      <c r="K24">
        <v>87.267326732673268</v>
      </c>
      <c r="L24">
        <v>70.099009900990097</v>
      </c>
      <c r="M24">
        <v>65.742574257425744</v>
      </c>
    </row>
    <row r="25" spans="2:14" x14ac:dyDescent="0.3">
      <c r="B25">
        <v>6</v>
      </c>
      <c r="C25" s="6">
        <v>1.48E-3</v>
      </c>
      <c r="D25">
        <v>10</v>
      </c>
      <c r="E25">
        <f t="shared" si="0"/>
        <v>1.0970297029702971</v>
      </c>
      <c r="F25">
        <f t="shared" si="2"/>
        <v>8.9029702970297038</v>
      </c>
      <c r="G25">
        <f t="shared" si="1"/>
        <v>89.029702970297038</v>
      </c>
      <c r="J25">
        <v>6</v>
      </c>
      <c r="K25">
        <v>89.029702970297038</v>
      </c>
      <c r="L25">
        <v>62.574257425742573</v>
      </c>
      <c r="M25">
        <v>64.059405940594061</v>
      </c>
    </row>
    <row r="26" spans="2:14" x14ac:dyDescent="0.3">
      <c r="B26">
        <v>7</v>
      </c>
      <c r="C26">
        <v>1.8E-3</v>
      </c>
      <c r="D26">
        <v>10</v>
      </c>
      <c r="E26">
        <f t="shared" si="0"/>
        <v>1.1287128712871286</v>
      </c>
      <c r="F26">
        <f t="shared" si="2"/>
        <v>8.8712871287128721</v>
      </c>
      <c r="G26">
        <f t="shared" si="1"/>
        <v>88.712871287128721</v>
      </c>
      <c r="J26">
        <v>7</v>
      </c>
      <c r="K26">
        <v>88.712871287128721</v>
      </c>
      <c r="L26">
        <v>60.772277227722761</v>
      </c>
      <c r="M26">
        <v>62.970297029702976</v>
      </c>
    </row>
    <row r="27" spans="2:14" x14ac:dyDescent="0.3">
      <c r="B27">
        <v>8</v>
      </c>
      <c r="C27">
        <v>9.4000000000000004E-3</v>
      </c>
      <c r="D27">
        <v>10</v>
      </c>
      <c r="E27">
        <f t="shared" si="0"/>
        <v>1.8811881188118813</v>
      </c>
      <c r="F27">
        <f t="shared" si="2"/>
        <v>8.1188118811881189</v>
      </c>
      <c r="G27">
        <f t="shared" si="1"/>
        <v>81.188118811881196</v>
      </c>
      <c r="J27">
        <v>8</v>
      </c>
      <c r="K27">
        <v>81.188118811881196</v>
      </c>
      <c r="L27">
        <v>56.930693069306926</v>
      </c>
      <c r="M27">
        <v>41.683168316831683</v>
      </c>
    </row>
    <row r="28" spans="2:14" x14ac:dyDescent="0.3">
      <c r="B28">
        <v>9</v>
      </c>
      <c r="C28">
        <v>2.8840000000000001E-2</v>
      </c>
      <c r="D28">
        <v>10</v>
      </c>
      <c r="E28">
        <f t="shared" si="0"/>
        <v>3.8059405940594062</v>
      </c>
      <c r="F28">
        <f t="shared" si="2"/>
        <v>6.1940594059405942</v>
      </c>
      <c r="G28">
        <f t="shared" si="1"/>
        <v>61.940594059405939</v>
      </c>
      <c r="J28">
        <v>9</v>
      </c>
      <c r="K28">
        <v>61.940594059405939</v>
      </c>
      <c r="L28">
        <v>54.138613861386133</v>
      </c>
      <c r="M28">
        <v>33.46534653465347</v>
      </c>
    </row>
    <row r="30" spans="2:14" ht="28.8" x14ac:dyDescent="0.55000000000000004">
      <c r="F30" s="5"/>
    </row>
    <row r="31" spans="2:14" x14ac:dyDescent="0.3">
      <c r="B31" t="s">
        <v>0</v>
      </c>
      <c r="C31" t="s">
        <v>10</v>
      </c>
    </row>
    <row r="32" spans="2:14" ht="18" x14ac:dyDescent="0.35">
      <c r="B32">
        <v>3</v>
      </c>
      <c r="C32">
        <v>2.486E-2</v>
      </c>
      <c r="D32">
        <v>10</v>
      </c>
      <c r="E32">
        <f t="shared" ref="E32:E61" si="3">(C32+0.0096)/0.0101</f>
        <v>3.4118811881188118</v>
      </c>
      <c r="F32">
        <f t="shared" si="2"/>
        <v>6.5881188118811878</v>
      </c>
      <c r="G32">
        <f>(F32*100)/D32</f>
        <v>65.881188118811878</v>
      </c>
      <c r="K32" s="1"/>
      <c r="N32" s="2"/>
    </row>
    <row r="33" spans="2:7" x14ac:dyDescent="0.3">
      <c r="B33">
        <v>4</v>
      </c>
      <c r="C33">
        <v>1.2070000000000001E-2</v>
      </c>
      <c r="D33">
        <v>10</v>
      </c>
      <c r="E33">
        <f t="shared" si="3"/>
        <v>2.1455445544554457</v>
      </c>
      <c r="F33">
        <f t="shared" si="2"/>
        <v>7.8544554455445539</v>
      </c>
      <c r="G33">
        <f t="shared" si="1"/>
        <v>78.544554455445535</v>
      </c>
    </row>
    <row r="34" spans="2:7" x14ac:dyDescent="0.3">
      <c r="B34">
        <v>5</v>
      </c>
      <c r="C34">
        <v>2.06E-2</v>
      </c>
      <c r="D34">
        <v>10</v>
      </c>
      <c r="E34">
        <f t="shared" si="3"/>
        <v>2.9900990099009901</v>
      </c>
      <c r="F34">
        <f t="shared" si="2"/>
        <v>7.0099009900990099</v>
      </c>
      <c r="G34">
        <f t="shared" si="1"/>
        <v>70.099009900990097</v>
      </c>
    </row>
    <row r="35" spans="2:7" x14ac:dyDescent="0.3">
      <c r="B35">
        <v>6</v>
      </c>
      <c r="C35">
        <v>2.8199999999999999E-2</v>
      </c>
      <c r="D35">
        <v>10</v>
      </c>
      <c r="E35">
        <f t="shared" si="3"/>
        <v>3.7425742574257428</v>
      </c>
      <c r="F35">
        <f t="shared" si="2"/>
        <v>6.2574257425742577</v>
      </c>
      <c r="G35">
        <f t="shared" si="1"/>
        <v>62.574257425742573</v>
      </c>
    </row>
    <row r="36" spans="2:7" x14ac:dyDescent="0.3">
      <c r="B36">
        <v>7</v>
      </c>
      <c r="C36">
        <v>3.0020000000000002E-2</v>
      </c>
      <c r="D36">
        <v>10</v>
      </c>
      <c r="E36">
        <f t="shared" si="3"/>
        <v>3.9227722772277231</v>
      </c>
      <c r="F36">
        <f t="shared" si="2"/>
        <v>6.0772277227722764</v>
      </c>
      <c r="G36">
        <f t="shared" si="1"/>
        <v>60.772277227722761</v>
      </c>
    </row>
    <row r="37" spans="2:7" x14ac:dyDescent="0.3">
      <c r="B37">
        <v>8</v>
      </c>
      <c r="C37">
        <v>3.39E-2</v>
      </c>
      <c r="D37">
        <v>10</v>
      </c>
      <c r="E37">
        <f t="shared" si="3"/>
        <v>4.3069306930693072</v>
      </c>
      <c r="F37">
        <f t="shared" si="2"/>
        <v>5.6930693069306928</v>
      </c>
      <c r="G37">
        <f t="shared" si="1"/>
        <v>56.930693069306926</v>
      </c>
    </row>
    <row r="38" spans="2:7" x14ac:dyDescent="0.3">
      <c r="B38">
        <v>9</v>
      </c>
      <c r="C38">
        <v>3.6720000000000003E-2</v>
      </c>
      <c r="D38">
        <v>10</v>
      </c>
      <c r="E38">
        <f t="shared" si="3"/>
        <v>4.5861386138613867</v>
      </c>
      <c r="F38">
        <f t="shared" si="2"/>
        <v>5.4138613861386133</v>
      </c>
      <c r="G38">
        <f t="shared" si="1"/>
        <v>54.138613861386133</v>
      </c>
    </row>
    <row r="40" spans="2:7" ht="23.4" x14ac:dyDescent="0.45">
      <c r="F40" s="3"/>
    </row>
    <row r="41" spans="2:7" x14ac:dyDescent="0.3">
      <c r="B41" t="s">
        <v>0</v>
      </c>
      <c r="C41" t="s">
        <v>11</v>
      </c>
    </row>
    <row r="42" spans="2:7" x14ac:dyDescent="0.3">
      <c r="B42">
        <v>3</v>
      </c>
      <c r="C42">
        <v>3.2899999999999999E-2</v>
      </c>
      <c r="D42">
        <v>10</v>
      </c>
      <c r="E42">
        <f t="shared" si="3"/>
        <v>4.2079207920792081</v>
      </c>
      <c r="F42">
        <f t="shared" si="2"/>
        <v>5.7920792079207919</v>
      </c>
      <c r="G42">
        <f t="shared" si="1"/>
        <v>57.920792079207921</v>
      </c>
    </row>
    <row r="43" spans="2:7" x14ac:dyDescent="0.3">
      <c r="B43">
        <v>4</v>
      </c>
      <c r="C43">
        <v>1.9040000000000001E-2</v>
      </c>
      <c r="D43">
        <v>10</v>
      </c>
      <c r="E43">
        <f t="shared" si="3"/>
        <v>2.8356435643564355</v>
      </c>
      <c r="F43">
        <f t="shared" si="2"/>
        <v>7.1643564356435645</v>
      </c>
      <c r="G43">
        <f t="shared" si="1"/>
        <v>71.643564356435647</v>
      </c>
    </row>
    <row r="44" spans="2:7" x14ac:dyDescent="0.3">
      <c r="B44">
        <v>5</v>
      </c>
      <c r="C44">
        <v>2.6599999999999999E-2</v>
      </c>
      <c r="D44">
        <v>10</v>
      </c>
      <c r="E44">
        <f t="shared" si="3"/>
        <v>3.5841584158415838</v>
      </c>
      <c r="F44">
        <f t="shared" si="2"/>
        <v>6.4158415841584162</v>
      </c>
      <c r="G44">
        <f t="shared" si="1"/>
        <v>64.158415841584173</v>
      </c>
    </row>
    <row r="45" spans="2:7" x14ac:dyDescent="0.3">
      <c r="B45">
        <v>6</v>
      </c>
      <c r="C45">
        <v>2.7959999999999999E-2</v>
      </c>
      <c r="D45">
        <v>10</v>
      </c>
      <c r="E45">
        <f t="shared" si="3"/>
        <v>3.7188118811881186</v>
      </c>
      <c r="F45">
        <f t="shared" si="2"/>
        <v>6.2811881188118814</v>
      </c>
      <c r="G45">
        <f t="shared" si="1"/>
        <v>62.811881188118811</v>
      </c>
    </row>
    <row r="46" spans="2:7" x14ac:dyDescent="0.3">
      <c r="B46">
        <v>7</v>
      </c>
      <c r="C46">
        <v>3.3360000000000001E-2</v>
      </c>
      <c r="D46">
        <v>10</v>
      </c>
      <c r="E46">
        <f t="shared" si="3"/>
        <v>4.2534653465346537</v>
      </c>
      <c r="F46">
        <f t="shared" si="2"/>
        <v>5.7465346534653463</v>
      </c>
      <c r="G46">
        <f t="shared" si="1"/>
        <v>57.465346534653463</v>
      </c>
    </row>
    <row r="47" spans="2:7" x14ac:dyDescent="0.3">
      <c r="B47">
        <v>8</v>
      </c>
      <c r="C47">
        <v>0.04</v>
      </c>
      <c r="D47">
        <v>10</v>
      </c>
      <c r="E47">
        <f t="shared" si="3"/>
        <v>4.9108910891089108</v>
      </c>
      <c r="F47">
        <f t="shared" si="2"/>
        <v>5.0891089108910892</v>
      </c>
      <c r="G47">
        <f t="shared" si="1"/>
        <v>50.89108910891089</v>
      </c>
    </row>
    <row r="48" spans="2:7" x14ac:dyDescent="0.3">
      <c r="B48">
        <v>9</v>
      </c>
      <c r="C48">
        <v>5.7959999999999998E-2</v>
      </c>
      <c r="D48">
        <v>10</v>
      </c>
      <c r="E48">
        <f t="shared" si="3"/>
        <v>6.6891089108910888</v>
      </c>
      <c r="F48">
        <f t="shared" si="2"/>
        <v>3.3108910891089112</v>
      </c>
      <c r="G48">
        <f t="shared" si="1"/>
        <v>33.10891089108911</v>
      </c>
    </row>
    <row r="55" spans="2:7" x14ac:dyDescent="0.3">
      <c r="B55">
        <v>3</v>
      </c>
      <c r="C55">
        <v>1.5E-3</v>
      </c>
      <c r="D55">
        <v>10</v>
      </c>
      <c r="E55">
        <f t="shared" si="3"/>
        <v>1.0990099009900989</v>
      </c>
      <c r="F55">
        <f>D55-E55</f>
        <v>8.9009900990099009</v>
      </c>
      <c r="G55">
        <f>(F55*100)/D55</f>
        <v>89.009900990098998</v>
      </c>
    </row>
    <row r="56" spans="2:7" x14ac:dyDescent="0.3">
      <c r="B56">
        <v>4</v>
      </c>
      <c r="C56">
        <v>2.8799999999999999E-2</v>
      </c>
      <c r="D56">
        <v>10</v>
      </c>
      <c r="E56">
        <f t="shared" si="3"/>
        <v>3.8019801980198018</v>
      </c>
      <c r="F56">
        <f>D56-E56</f>
        <v>6.1980198019801982</v>
      </c>
      <c r="G56">
        <f t="shared" ref="G56:G61" si="4">(F56*100)/D56</f>
        <v>61.980198019801982</v>
      </c>
    </row>
    <row r="57" spans="2:7" x14ac:dyDescent="0.3">
      <c r="B57">
        <v>5</v>
      </c>
      <c r="C57">
        <v>5.0000000000000001E-4</v>
      </c>
      <c r="D57">
        <v>10</v>
      </c>
      <c r="E57">
        <f t="shared" si="3"/>
        <v>1</v>
      </c>
      <c r="F57">
        <f t="shared" ref="F57:F61" si="5">D57-E57</f>
        <v>9</v>
      </c>
      <c r="G57">
        <f t="shared" si="4"/>
        <v>90</v>
      </c>
    </row>
    <row r="58" spans="2:7" x14ac:dyDescent="0.3">
      <c r="B58">
        <v>6</v>
      </c>
      <c r="C58">
        <v>2.2000000000000001E-3</v>
      </c>
      <c r="D58">
        <v>10</v>
      </c>
      <c r="E58">
        <f t="shared" si="3"/>
        <v>1.1683168316831682</v>
      </c>
      <c r="F58">
        <f t="shared" si="5"/>
        <v>8.8316831683168324</v>
      </c>
      <c r="G58">
        <f t="shared" si="4"/>
        <v>88.316831683168317</v>
      </c>
    </row>
    <row r="59" spans="2:7" x14ac:dyDescent="0.3">
      <c r="B59">
        <v>7</v>
      </c>
      <c r="C59">
        <v>5.16E-2</v>
      </c>
      <c r="D59">
        <v>10</v>
      </c>
      <c r="E59">
        <f t="shared" si="3"/>
        <v>6.0594059405940595</v>
      </c>
      <c r="F59">
        <f t="shared" si="5"/>
        <v>3.9405940594059405</v>
      </c>
      <c r="G59">
        <f t="shared" si="4"/>
        <v>39.405940594059402</v>
      </c>
    </row>
    <row r="60" spans="2:7" x14ac:dyDescent="0.3">
      <c r="B60">
        <v>8</v>
      </c>
      <c r="C60">
        <v>1E-4</v>
      </c>
      <c r="D60">
        <v>10</v>
      </c>
      <c r="E60">
        <f t="shared" si="3"/>
        <v>0.96039603960396025</v>
      </c>
      <c r="F60">
        <f t="shared" si="5"/>
        <v>9.0396039603960396</v>
      </c>
      <c r="G60">
        <f t="shared" si="4"/>
        <v>90.396039603960403</v>
      </c>
    </row>
    <row r="61" spans="2:7" x14ac:dyDescent="0.3">
      <c r="B61">
        <v>9</v>
      </c>
      <c r="C61">
        <v>2.6700000000000002E-2</v>
      </c>
      <c r="D61">
        <v>10</v>
      </c>
      <c r="E61">
        <f t="shared" si="3"/>
        <v>3.5940594059405941</v>
      </c>
      <c r="F61">
        <f t="shared" si="5"/>
        <v>6.4059405940594054</v>
      </c>
      <c r="G61">
        <f t="shared" si="4"/>
        <v>64.059405940594061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