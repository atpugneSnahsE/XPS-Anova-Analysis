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FEC956ED-EB84-4297-A1A3-11FE18273D4E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4" i="1"/>
  <c r="E21" i="1"/>
  <c r="E15" i="1"/>
  <c r="E16" i="1"/>
  <c r="E17" i="1"/>
  <c r="E28" i="1"/>
  <c r="E29" i="1"/>
  <c r="E30" i="1"/>
  <c r="E31" i="1"/>
  <c r="E14" i="1"/>
  <c r="H15" i="1" l="1"/>
  <c r="I15" i="1" s="1"/>
  <c r="J15" i="1" s="1"/>
  <c r="H16" i="1"/>
  <c r="I16" i="1" s="1"/>
  <c r="J16" i="1" s="1"/>
  <c r="H17" i="1"/>
  <c r="I17" i="1" s="1"/>
  <c r="J17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14" i="1"/>
  <c r="I14" i="1" s="1"/>
  <c r="J14" i="1" s="1"/>
  <c r="L14" i="1" s="1"/>
  <c r="M14" i="1" s="1"/>
  <c r="N14" i="1" s="1"/>
  <c r="K17" i="1"/>
  <c r="B31" i="1"/>
  <c r="K31" i="1" s="1"/>
  <c r="B30" i="1"/>
  <c r="K30" i="1" s="1"/>
  <c r="B29" i="1"/>
  <c r="K29" i="1" s="1"/>
  <c r="B28" i="1"/>
  <c r="K28" i="1" s="1"/>
  <c r="B24" i="1"/>
  <c r="K24" i="1" s="1"/>
  <c r="B23" i="1"/>
  <c r="K23" i="1" s="1"/>
  <c r="B22" i="1"/>
  <c r="K22" i="1" s="1"/>
  <c r="B21" i="1"/>
  <c r="K21" i="1" s="1"/>
  <c r="B17" i="1"/>
  <c r="B16" i="1"/>
  <c r="K16" i="1" s="1"/>
  <c r="B15" i="1"/>
  <c r="K15" i="1" s="1"/>
  <c r="B14" i="1"/>
  <c r="K14" i="1" s="1"/>
  <c r="F15" i="1"/>
  <c r="G15" i="1" s="1"/>
  <c r="F16" i="1"/>
  <c r="G16" i="1" s="1"/>
  <c r="F17" i="1"/>
  <c r="G17" i="1" s="1"/>
  <c r="F21" i="1"/>
  <c r="G21" i="1" s="1"/>
  <c r="F22" i="1"/>
  <c r="G22" i="1" s="1"/>
  <c r="F23" i="1"/>
  <c r="G23" i="1" s="1"/>
  <c r="F24" i="1"/>
  <c r="G24" i="1" s="1"/>
  <c r="F28" i="1"/>
  <c r="G28" i="1" s="1"/>
  <c r="F29" i="1"/>
  <c r="G29" i="1" s="1"/>
  <c r="F14" i="1"/>
  <c r="G14" i="1" s="1"/>
  <c r="F31" i="1"/>
  <c r="G31" i="1" s="1"/>
  <c r="F30" i="1"/>
  <c r="G30" i="1" s="1"/>
  <c r="L31" i="1" l="1"/>
  <c r="M31" i="1" s="1"/>
  <c r="N31" i="1" s="1"/>
  <c r="L30" i="1"/>
  <c r="M30" i="1" s="1"/>
  <c r="N30" i="1" s="1"/>
  <c r="L29" i="1"/>
  <c r="M29" i="1" s="1"/>
  <c r="N29" i="1" s="1"/>
  <c r="L28" i="1"/>
  <c r="M28" i="1" s="1"/>
  <c r="N28" i="1" s="1"/>
  <c r="L24" i="1"/>
  <c r="M24" i="1" s="1"/>
  <c r="N24" i="1" s="1"/>
  <c r="L23" i="1"/>
  <c r="M23" i="1" s="1"/>
  <c r="N23" i="1" s="1"/>
  <c r="L22" i="1"/>
  <c r="M22" i="1" s="1"/>
  <c r="N22" i="1" s="1"/>
  <c r="L21" i="1"/>
  <c r="M21" i="1" s="1"/>
  <c r="N21" i="1" s="1"/>
  <c r="L17" i="1"/>
  <c r="M17" i="1" s="1"/>
  <c r="N17" i="1" s="1"/>
  <c r="L16" i="1"/>
  <c r="M16" i="1" s="1"/>
  <c r="N16" i="1" s="1"/>
  <c r="L15" i="1"/>
  <c r="M15" i="1" s="1"/>
  <c r="N15" i="1" s="1"/>
</calcChain>
</file>

<file path=xl/sharedStrings.xml><?xml version="1.0" encoding="utf-8"?>
<sst xmlns="http://schemas.openxmlformats.org/spreadsheetml/2006/main" count="53" uniqueCount="20">
  <si>
    <t>Ad.ds</t>
  </si>
  <si>
    <t>Absorbance</t>
  </si>
  <si>
    <t>initial concentration</t>
  </si>
  <si>
    <t>final concentration</t>
  </si>
  <si>
    <t>adsorbed</t>
  </si>
  <si>
    <t>% adsorption</t>
  </si>
  <si>
    <t>conc. Mg/L</t>
  </si>
  <si>
    <t>temp</t>
  </si>
  <si>
    <t>GO-MCC50</t>
  </si>
  <si>
    <t>GO-MCC90</t>
  </si>
  <si>
    <t>qe</t>
  </si>
  <si>
    <t>Kd=qe/Cf</t>
  </si>
  <si>
    <t>lnKD</t>
  </si>
  <si>
    <t>1/T</t>
  </si>
  <si>
    <t>G=RTlnKD</t>
  </si>
  <si>
    <t>G=-</t>
  </si>
  <si>
    <t>G/1000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</si>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</sst>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Sheet1!$Q$13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Sheet1!$P$14:$P$17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Sheet1!$Q$14:$Q$17</c:f>
              <c:numCache>
                <c:formatCode>General</c:formatCode>
                <c:ptCount val="4"/>
                <c:pt idx="0">
                  <c:v>1.1602940360149891</c:v>
                </c:pt>
                <c:pt idx="1">
                  <c:v>1.1278696946564799</c:v>
                </c:pt>
                <c:pt idx="2">
                  <c:v>1.0542185761945262</c:v>
                </c:pt>
                <c:pt idx="3">
                  <c:v>0.98810201234080575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6-4452-B7EA-A05DB8B6F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033023"/>
        <c:axId val="584033503"/>
      </c:scatterChart>
      <c:valAx>
        <c:axId val="58403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1/T</a:t>
                </a:r>
              </a:p>
            </c:rich>
          </c:tx>
          <c:layout>
            <c:manualLayout>
              <c:xMode val="edge"/>
              <c:yMode val="edge"/>
              <c:x val="0.54579155200610252"/>
              <c:y val="0.83175541400738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503"/>
        <c:crosses val="autoZero"/>
        <c:crossBetween val="midCat"/>
      </c:valAx>
      <c:valAx>
        <c:axId val="584033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3503037563328"/>
          <c:y val="9.9994462158331382E-2"/>
          <c:w val="0.76519023185849999"/>
          <c:h val="0.71090720323529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Sheet1!$Q$20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092517544287953E-2"/>
                  <c:y val="-5.43097629155189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Sheet1!$P$21:$P$24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Sheet1!$Q$21:$Q$24</c:f>
              <c:numCache>
                <c:formatCode>General</c:formatCode>
                <c:ptCount val="4"/>
                <c:pt idx="0">
                  <c:v>1.0697767390282227</c:v>
                </c:pt>
                <c:pt idx="1">
                  <c:v>1.0387764970574445</c:v>
                </c:pt>
                <c:pt idx="2">
                  <c:v>1.0234473863175098</c:v>
                </c:pt>
                <c:pt idx="3">
                  <c:v>1.0132892456942479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7-4FDA-B58E-28E9EEBD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31071"/>
        <c:axId val="707640191"/>
      </c:scatterChart>
      <c:valAx>
        <c:axId val="70763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40191"/>
        <c:crosses val="autoZero"/>
        <c:crossBetween val="midCat"/>
      </c:valAx>
      <c:valAx>
        <c:axId val="707640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67856598799342"/>
          <c:y val="3.099964666151617E-2"/>
          <c:w val="0.80901550409286915"/>
          <c:h val="0.78852718643020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Sheet1!$I$34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Sheet1!$I$35:$I$38</c:f>
              <c:numCache>
                <c:formatCode>General</c:formatCode>
                <c:ptCount val="4"/>
                <c:pt idx="0">
                  <c:v>76.138613861386148</c:v>
                </c:pt>
                <c:pt idx="1">
                  <c:v>75.544554455445549</c:v>
                </c:pt>
                <c:pt idx="2">
                  <c:v>74.158415841584173</c:v>
                </c:pt>
                <c:pt idx="3">
                  <c:v>72.871287128712865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4-4562-802D-435F196DFAF2}"/>
            </c:ext>
          </c:extLst>
        </c:ser>
        <c:ser>
          <c:idx val="1"/>
          <c:order val="1"/>
          <c:tx>
            <c:strRef>
              <c:f>Sheet1!$J$34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74.455445544554465</c:v>
                </c:pt>
                <c:pt idx="1">
                  <c:v>73.861386138613852</c:v>
                </c:pt>
                <c:pt idx="2">
                  <c:v>73.564356435643575</c:v>
                </c:pt>
                <c:pt idx="3">
                  <c:v>73.366336633663366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4-4562-802D-435F196DFAF2}"/>
            </c:ext>
          </c:extLst>
        </c:ser>
        <c:ser>
          <c:idx val="2"/>
          <c:order val="2"/>
          <c:tx>
            <c:strRef>
              <c:f>Sheet1!$K$34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73.821782178217816</c:v>
                </c:pt>
                <c:pt idx="1">
                  <c:v>73.78217821782178</c:v>
                </c:pt>
                <c:pt idx="2">
                  <c:v>72.178217821782169</c:v>
                </c:pt>
                <c:pt idx="3">
                  <c:v>71.267326732673268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24-4562-802D-435F196DF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03551"/>
        <c:axId val="703604991"/>
      </c:scatterChart>
      <c:valAx>
        <c:axId val="70360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0.30614831948317617"/>
              <c:y val="0.89577126799190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4991"/>
        <c:crosses val="autoZero"/>
        <c:crossBetween val="midCat"/>
      </c:valAx>
      <c:valAx>
        <c:axId val="703604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9.3033883919827658E-4"/>
              <c:y val="0.12785849289926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35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2575468589211491"/>
          <c:y val="4.7358504433832646E-2"/>
          <c:w val="0.32193995321785523"/>
          <c:h val="0.17997739865850099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Sheet1!$Q$27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Sheet1!$P$28:$P$31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Sheet1!$Q$28:$Q$31</c:f>
              <c:numCache>
                <c:formatCode>General</c:formatCode>
                <c:ptCount val="4"/>
                <c:pt idx="0">
                  <c:v>1.03672615539385</c:v>
                </c:pt>
                <c:pt idx="1">
                  <c:v>1.0346778146645805</c:v>
                </c:pt>
                <c:pt idx="2">
                  <c:v>0.95331906267491251</c:v>
                </c:pt>
                <c:pt idx="3">
                  <c:v>0.90840305519484299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9-4DB7-B5E7-4D9FCC7B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91679"/>
        <c:axId val="1452802719"/>
      </c:scatterChart>
      <c:valAx>
        <c:axId val="145279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02719"/>
        <c:crosses val="autoZero"/>
        <c:crossBetween val="midCat"/>
      </c:valAx>
      <c:valAx>
        <c:axId val="1452802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388620</xdr:colOff>
      <xdr:row>5</xdr:row>
      <xdr:rowOff>66261</xdr:rowOff>
    </xdr:from>
    <xdr:to>
      <xdr:col>24</xdr:col>
      <xdr:colOff>480391</xdr:colOff>
      <xdr:row>17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19DBBF-8635-C985-C2D4-9366909A2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283028</xdr:colOff>
      <xdr:row>17</xdr:row>
      <xdr:rowOff>43543</xdr:rowOff>
    </xdr:from>
    <xdr:to>
      <xdr:col>24</xdr:col>
      <xdr:colOff>435429</xdr:colOff>
      <xdr:row>28</xdr:row>
      <xdr:rowOff>43543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0787C9-FDD7-9770-8631-A8890424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279852</xdr:colOff>
      <xdr:row>36</xdr:row>
      <xdr:rowOff>138545</xdr:rowOff>
    </xdr:from>
    <xdr:to>
      <xdr:col>17</xdr:col>
      <xdr:colOff>531091</xdr:colOff>
      <xdr:row>56</xdr:row>
      <xdr:rowOff>171926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3713C3-A3A1-F92C-6F23-51A772896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16565</xdr:colOff>
      <xdr:row>28</xdr:row>
      <xdr:rowOff>94422</xdr:rowOff>
    </xdr:from>
    <xdr:to>
      <xdr:col>25</xdr:col>
      <xdr:colOff>298174</xdr:colOff>
      <xdr:row>43</xdr:row>
      <xdr:rowOff>104361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460E9-3D3F-CA51-39AB-49C562AC2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Q38"/>
  <sheetViews>
    <sheetView tabSelected="1" topLeftCell="A13" zoomScale="66" zoomScaleNormal="66" workbookViewId="0">
      <selection activeCell="X47" sqref="X47"/>
    </sheetView>
  </sheetViews>
  <sheetFormatPr defaultRowHeight="14.4" x14ac:dyDescent="0.3"/>
  <sheetData>
    <row r="3" spans="1:17" x14ac:dyDescent="0.3">
      <c r="B3" t="s">
        <v>6</v>
      </c>
      <c r="C3" t="s">
        <v>1</v>
      </c>
    </row>
    <row r="4" spans="1:17" x14ac:dyDescent="0.3">
      <c r="B4">
        <v>1</v>
      </c>
      <c r="C4">
        <v>3.7799999999999999E-3</v>
      </c>
    </row>
    <row r="5" spans="1:17" x14ac:dyDescent="0.3">
      <c r="B5">
        <v>2</v>
      </c>
      <c r="C5">
        <v>8.8400000000000006E-3</v>
      </c>
    </row>
    <row r="6" spans="1:17" x14ac:dyDescent="0.3">
      <c r="B6">
        <v>5</v>
      </c>
      <c r="C6">
        <v>3.9280000000000002E-2</v>
      </c>
    </row>
    <row r="7" spans="1:17" x14ac:dyDescent="0.3">
      <c r="B7">
        <v>10</v>
      </c>
      <c r="C7">
        <v>9.0980000000000005E-2</v>
      </c>
    </row>
    <row r="8" spans="1:17" x14ac:dyDescent="0.3">
      <c r="B8">
        <v>20</v>
      </c>
      <c r="C8">
        <v>0.19325999999999999</v>
      </c>
    </row>
    <row r="11" spans="1:17" x14ac:dyDescent="0.3">
      <c r="A11" t="s">
        <v>17</v>
      </c>
    </row>
    <row r="12" spans="1:17" x14ac:dyDescent="0.3">
      <c r="P12" t="s">
        <v>17</v>
      </c>
    </row>
    <row r="13" spans="1:17" x14ac:dyDescent="0.3">
      <c r="B13" t="s">
        <v>7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P13" t="s">
        <v>13</v>
      </c>
      <c r="Q13" t="s">
        <v>12</v>
      </c>
    </row>
    <row r="14" spans="1:17" x14ac:dyDescent="0.3">
      <c r="B14">
        <f>25+273</f>
        <v>298</v>
      </c>
      <c r="C14">
        <v>1.4500000000000001E-2</v>
      </c>
      <c r="D14">
        <v>10</v>
      </c>
      <c r="E14">
        <f>(C14+0.0096)/0.0101</f>
        <v>2.386138613861386</v>
      </c>
      <c r="F14">
        <f>D14-E14</f>
        <v>7.6138613861386144</v>
      </c>
      <c r="G14">
        <f>(F14*100)/D14</f>
        <v>76.138613861386148</v>
      </c>
      <c r="H14">
        <f>((D14-E14)*0.01)/0.01</f>
        <v>7.6138613861386153</v>
      </c>
      <c r="I14">
        <f>H14/E14</f>
        <v>3.1908713692946065</v>
      </c>
      <c r="J14">
        <f>LN(I14)</f>
        <v>1.1602940360149891</v>
      </c>
      <c r="K14">
        <f>1/B14</f>
        <v>3.3557046979865771E-3</v>
      </c>
      <c r="L14">
        <f>8.314*B14*J14</f>
        <v>2874.7120153977289</v>
      </c>
      <c r="M14">
        <f>(L14)*-1</f>
        <v>-2874.7120153977289</v>
      </c>
      <c r="N14">
        <f>M14/1000</f>
        <v>-2.874712015397729</v>
      </c>
      <c r="P14">
        <v>3.3557046979865771E-3</v>
      </c>
      <c r="Q14">
        <v>1.1602940360149891</v>
      </c>
    </row>
    <row r="15" spans="1:17" x14ac:dyDescent="0.3">
      <c r="B15">
        <f>30+273</f>
        <v>303</v>
      </c>
      <c r="C15">
        <v>1.5100000000000001E-2</v>
      </c>
      <c r="D15">
        <v>10</v>
      </c>
      <c r="E15">
        <f t="shared" ref="E15:E31" si="0">(C15+0.0096)/0.0101</f>
        <v>2.4455445544554455</v>
      </c>
      <c r="F15">
        <f t="shared" ref="F15:F31" si="1">D15-E15</f>
        <v>7.5544554455445549</v>
      </c>
      <c r="G15">
        <f t="shared" ref="G15:G31" si="2">(F15*100)/D15</f>
        <v>75.544554455445549</v>
      </c>
      <c r="H15">
        <f t="shared" ref="H15:H31" si="3">((D15-E15)*0.01)/0.01</f>
        <v>7.5544554455445558</v>
      </c>
      <c r="I15">
        <f t="shared" ref="I15:I31" si="4">H15/E15</f>
        <v>3.0890688259109318</v>
      </c>
      <c r="J15">
        <f t="shared" ref="J15:J31" si="5">LN(I15)</f>
        <v>1.1278696946564799</v>
      </c>
      <c r="K15">
        <f t="shared" ref="K15:K31" si="6">1/B15</f>
        <v>3.3003300330033004E-3</v>
      </c>
      <c r="L15">
        <f t="shared" ref="L15:L31" si="7">8.314*B15*J15</f>
        <v>2841.263918336314</v>
      </c>
      <c r="M15">
        <f t="shared" ref="M15:M31" si="8">(L15)*-1</f>
        <v>-2841.263918336314</v>
      </c>
      <c r="N15">
        <f t="shared" ref="N15:N31" si="9">M15/1000</f>
        <v>-2.8412639183363138</v>
      </c>
      <c r="P15">
        <v>3.3003300330033004E-3</v>
      </c>
      <c r="Q15">
        <v>1.1278696946564799</v>
      </c>
    </row>
    <row r="16" spans="1:17" x14ac:dyDescent="0.3">
      <c r="B16">
        <f>35+273</f>
        <v>308</v>
      </c>
      <c r="C16">
        <v>1.6500000000000001E-2</v>
      </c>
      <c r="D16">
        <v>10</v>
      </c>
      <c r="E16">
        <f t="shared" si="0"/>
        <v>2.5841584158415842</v>
      </c>
      <c r="F16">
        <f t="shared" si="1"/>
        <v>7.4158415841584162</v>
      </c>
      <c r="G16">
        <f t="shared" si="2"/>
        <v>74.158415841584173</v>
      </c>
      <c r="H16">
        <f t="shared" si="3"/>
        <v>7.4158415841584171</v>
      </c>
      <c r="I16">
        <f t="shared" si="4"/>
        <v>2.8697318007662838</v>
      </c>
      <c r="J16">
        <f t="shared" si="5"/>
        <v>1.0542185761945262</v>
      </c>
      <c r="K16">
        <f t="shared" si="6"/>
        <v>3.246753246753247E-3</v>
      </c>
      <c r="L16">
        <f t="shared" si="7"/>
        <v>2699.5501586842374</v>
      </c>
      <c r="M16">
        <f t="shared" si="8"/>
        <v>-2699.5501586842374</v>
      </c>
      <c r="N16">
        <f t="shared" si="9"/>
        <v>-2.6995501586842376</v>
      </c>
      <c r="P16">
        <v>3.246753246753247E-3</v>
      </c>
      <c r="Q16">
        <v>1.0542185761945262</v>
      </c>
    </row>
    <row r="17" spans="1:17" x14ac:dyDescent="0.3">
      <c r="B17">
        <f>40+273</f>
        <v>313</v>
      </c>
      <c r="C17">
        <v>1.78E-2</v>
      </c>
      <c r="D17">
        <v>10</v>
      </c>
      <c r="E17">
        <f t="shared" si="0"/>
        <v>2.7128712871287131</v>
      </c>
      <c r="F17">
        <f t="shared" si="1"/>
        <v>7.2871287128712865</v>
      </c>
      <c r="G17">
        <f t="shared" si="2"/>
        <v>72.871287128712865</v>
      </c>
      <c r="H17">
        <f t="shared" si="3"/>
        <v>7.2871287128712865</v>
      </c>
      <c r="I17">
        <f t="shared" si="4"/>
        <v>2.6861313868613133</v>
      </c>
      <c r="J17">
        <f t="shared" si="5"/>
        <v>0.98810201234080575</v>
      </c>
      <c r="K17">
        <f t="shared" si="6"/>
        <v>3.1948881789137379E-3</v>
      </c>
      <c r="L17">
        <f t="shared" si="7"/>
        <v>2571.3200808782567</v>
      </c>
      <c r="M17">
        <f t="shared" si="8"/>
        <v>-2571.3200808782567</v>
      </c>
      <c r="N17">
        <f t="shared" si="9"/>
        <v>-2.5713200808782566</v>
      </c>
      <c r="P17">
        <v>3.1948881789137379E-3</v>
      </c>
      <c r="Q17">
        <v>0.98810201234080575</v>
      </c>
    </row>
    <row r="18" spans="1:17" x14ac:dyDescent="0.3">
      <c r="A18" t="s">
        <v>8</v>
      </c>
    </row>
    <row r="19" spans="1:17" x14ac:dyDescent="0.3">
      <c r="P19" t="s">
        <v>8</v>
      </c>
    </row>
    <row r="20" spans="1:17" x14ac:dyDescent="0.3">
      <c r="B20" t="s">
        <v>7</v>
      </c>
      <c r="C20" t="s">
        <v>1</v>
      </c>
      <c r="F20" t="s">
        <v>4</v>
      </c>
      <c r="G20" t="s">
        <v>5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P20" t="s">
        <v>13</v>
      </c>
      <c r="Q20" t="s">
        <v>12</v>
      </c>
    </row>
    <row r="21" spans="1:17" x14ac:dyDescent="0.3">
      <c r="B21">
        <f>25+273</f>
        <v>298</v>
      </c>
      <c r="C21">
        <v>1.6199999999999999E-2</v>
      </c>
      <c r="D21">
        <v>10</v>
      </c>
      <c r="E21">
        <f>(C21+0.0096)/0.0101</f>
        <v>2.5544554455445541</v>
      </c>
      <c r="F21">
        <f t="shared" si="1"/>
        <v>7.4455445544554459</v>
      </c>
      <c r="G21">
        <f t="shared" si="2"/>
        <v>74.455445544554465</v>
      </c>
      <c r="H21">
        <f t="shared" si="3"/>
        <v>7.4455445544554468</v>
      </c>
      <c r="I21">
        <f t="shared" si="4"/>
        <v>2.9147286821705434</v>
      </c>
      <c r="J21">
        <f t="shared" si="5"/>
        <v>1.0697767390282227</v>
      </c>
      <c r="K21">
        <f t="shared" si="6"/>
        <v>3.3557046979865771E-3</v>
      </c>
      <c r="L21">
        <f t="shared" si="7"/>
        <v>2650.4488948676317</v>
      </c>
      <c r="M21">
        <f t="shared" si="8"/>
        <v>-2650.4488948676317</v>
      </c>
      <c r="N21">
        <f t="shared" si="9"/>
        <v>-2.6504488948676315</v>
      </c>
      <c r="P21">
        <v>3.3557046979865771E-3</v>
      </c>
      <c r="Q21">
        <v>1.0697767390282227</v>
      </c>
    </row>
    <row r="22" spans="1:17" x14ac:dyDescent="0.3">
      <c r="B22">
        <f>30+273</f>
        <v>303</v>
      </c>
      <c r="C22">
        <v>1.6799999999999999E-2</v>
      </c>
      <c r="D22">
        <v>10</v>
      </c>
      <c r="E22">
        <f t="shared" ref="E22:E24" si="10">(C22+0.0096)/0.0101</f>
        <v>2.613861386138614</v>
      </c>
      <c r="F22">
        <f t="shared" si="1"/>
        <v>7.3861386138613856</v>
      </c>
      <c r="G22">
        <f t="shared" si="2"/>
        <v>73.861386138613852</v>
      </c>
      <c r="H22">
        <f t="shared" si="3"/>
        <v>7.3861386138613856</v>
      </c>
      <c r="I22">
        <f t="shared" si="4"/>
        <v>2.8257575757575752</v>
      </c>
      <c r="J22">
        <f t="shared" si="5"/>
        <v>1.0387764970574445</v>
      </c>
      <c r="K22">
        <f t="shared" si="6"/>
        <v>3.3003300330033004E-3</v>
      </c>
      <c r="L22">
        <f t="shared" si="7"/>
        <v>2616.8255023502848</v>
      </c>
      <c r="M22">
        <f t="shared" si="8"/>
        <v>-2616.8255023502848</v>
      </c>
      <c r="N22">
        <f t="shared" si="9"/>
        <v>-2.6168255023502849</v>
      </c>
      <c r="P22">
        <v>3.3003300330033004E-3</v>
      </c>
      <c r="Q22">
        <v>1.0387764970574445</v>
      </c>
    </row>
    <row r="23" spans="1:17" x14ac:dyDescent="0.3">
      <c r="B23">
        <f>35+273</f>
        <v>308</v>
      </c>
      <c r="C23">
        <v>1.7100000000000001E-2</v>
      </c>
      <c r="D23">
        <v>10</v>
      </c>
      <c r="E23">
        <f t="shared" si="10"/>
        <v>2.6435643564356437</v>
      </c>
      <c r="F23">
        <f t="shared" si="1"/>
        <v>7.3564356435643568</v>
      </c>
      <c r="G23">
        <f t="shared" si="2"/>
        <v>73.564356435643575</v>
      </c>
      <c r="H23">
        <f t="shared" si="3"/>
        <v>7.3564356435643576</v>
      </c>
      <c r="I23">
        <f t="shared" si="4"/>
        <v>2.7827715355805247</v>
      </c>
      <c r="J23">
        <f t="shared" si="5"/>
        <v>1.0234473863175098</v>
      </c>
      <c r="K23">
        <f t="shared" si="6"/>
        <v>3.246753246753247E-3</v>
      </c>
      <c r="L23">
        <f t="shared" si="7"/>
        <v>2620.7540035118832</v>
      </c>
      <c r="M23">
        <f t="shared" si="8"/>
        <v>-2620.7540035118832</v>
      </c>
      <c r="N23">
        <f t="shared" si="9"/>
        <v>-2.620754003511883</v>
      </c>
      <c r="P23">
        <v>3.246753246753247E-3</v>
      </c>
      <c r="Q23">
        <v>1.0234473863175098</v>
      </c>
    </row>
    <row r="24" spans="1:17" x14ac:dyDescent="0.3">
      <c r="B24">
        <f>40+273</f>
        <v>313</v>
      </c>
      <c r="C24">
        <v>1.7299999999999999E-2</v>
      </c>
      <c r="D24">
        <v>10</v>
      </c>
      <c r="E24">
        <f t="shared" si="10"/>
        <v>2.6633663366336635</v>
      </c>
      <c r="F24">
        <f t="shared" si="1"/>
        <v>7.3366336633663369</v>
      </c>
      <c r="G24">
        <f t="shared" si="2"/>
        <v>73.366336633663366</v>
      </c>
      <c r="H24">
        <f t="shared" si="3"/>
        <v>7.3366336633663378</v>
      </c>
      <c r="I24">
        <f t="shared" si="4"/>
        <v>2.7546468401486992</v>
      </c>
      <c r="J24">
        <f t="shared" si="5"/>
        <v>1.0132892456942479</v>
      </c>
      <c r="K24">
        <f t="shared" si="6"/>
        <v>3.1948881789137379E-3</v>
      </c>
      <c r="L24">
        <f t="shared" si="7"/>
        <v>2636.8643648637189</v>
      </c>
      <c r="M24">
        <f t="shared" si="8"/>
        <v>-2636.8643648637189</v>
      </c>
      <c r="N24">
        <f t="shared" si="9"/>
        <v>-2.6368643648637189</v>
      </c>
      <c r="P24">
        <v>3.1948881789137379E-3</v>
      </c>
      <c r="Q24">
        <v>1.0132892456942479</v>
      </c>
    </row>
    <row r="25" spans="1:17" x14ac:dyDescent="0.3">
      <c r="A25" t="s">
        <v>9</v>
      </c>
    </row>
    <row r="26" spans="1:17" x14ac:dyDescent="0.3">
      <c r="P26" t="s">
        <v>9</v>
      </c>
    </row>
    <row r="27" spans="1:17" x14ac:dyDescent="0.3">
      <c r="B27" t="s">
        <v>7</v>
      </c>
      <c r="C27" t="s">
        <v>1</v>
      </c>
      <c r="D27">
        <v>10</v>
      </c>
      <c r="F27" t="s">
        <v>4</v>
      </c>
      <c r="G27" t="s">
        <v>5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P27" t="s">
        <v>13</v>
      </c>
      <c r="Q27" t="s">
        <v>12</v>
      </c>
    </row>
    <row r="28" spans="1:17" x14ac:dyDescent="0.3">
      <c r="B28">
        <f>25+273</f>
        <v>298</v>
      </c>
      <c r="C28">
        <v>1.6840000000000001E-2</v>
      </c>
      <c r="D28">
        <v>10</v>
      </c>
      <c r="E28">
        <f t="shared" si="0"/>
        <v>2.6178217821782179</v>
      </c>
      <c r="F28">
        <f t="shared" si="1"/>
        <v>7.3821782178217816</v>
      </c>
      <c r="G28">
        <f t="shared" si="2"/>
        <v>73.821782178217816</v>
      </c>
      <c r="H28">
        <f t="shared" si="3"/>
        <v>7.3821782178217816</v>
      </c>
      <c r="I28">
        <f t="shared" si="4"/>
        <v>2.8199697428139179</v>
      </c>
      <c r="J28">
        <f t="shared" si="5"/>
        <v>1.03672615539385</v>
      </c>
      <c r="K28">
        <f t="shared" si="6"/>
        <v>3.3557046979865771E-3</v>
      </c>
      <c r="L28">
        <f t="shared" si="7"/>
        <v>2568.5636942714518</v>
      </c>
      <c r="M28">
        <f t="shared" si="8"/>
        <v>-2568.5636942714518</v>
      </c>
      <c r="N28">
        <f t="shared" si="9"/>
        <v>-2.568563694271452</v>
      </c>
      <c r="P28">
        <v>3.3557046979865771E-3</v>
      </c>
      <c r="Q28">
        <v>1.03672615539385</v>
      </c>
    </row>
    <row r="29" spans="1:17" x14ac:dyDescent="0.3">
      <c r="B29">
        <f>30+273</f>
        <v>303</v>
      </c>
      <c r="C29">
        <v>1.6879999999999999E-2</v>
      </c>
      <c r="D29">
        <v>10</v>
      </c>
      <c r="E29">
        <f t="shared" si="0"/>
        <v>2.6217821782178214</v>
      </c>
      <c r="F29">
        <f t="shared" si="1"/>
        <v>7.3782178217821786</v>
      </c>
      <c r="G29">
        <f t="shared" si="2"/>
        <v>73.78217821782178</v>
      </c>
      <c r="H29">
        <f t="shared" si="3"/>
        <v>7.3782178217821794</v>
      </c>
      <c r="I29">
        <f t="shared" si="4"/>
        <v>2.8141993957703937</v>
      </c>
      <c r="J29">
        <f t="shared" si="5"/>
        <v>1.0346778146645805</v>
      </c>
      <c r="K29">
        <f t="shared" si="6"/>
        <v>3.3003300330033004E-3</v>
      </c>
      <c r="L29">
        <f t="shared" si="7"/>
        <v>2606.5003393897605</v>
      </c>
      <c r="M29">
        <f t="shared" si="8"/>
        <v>-2606.5003393897605</v>
      </c>
      <c r="N29">
        <f t="shared" si="9"/>
        <v>-2.6065003393897603</v>
      </c>
      <c r="P29">
        <v>3.3003300330033004E-3</v>
      </c>
      <c r="Q29">
        <v>1.0346778146645805</v>
      </c>
    </row>
    <row r="30" spans="1:17" x14ac:dyDescent="0.3">
      <c r="B30">
        <f>35+273</f>
        <v>308</v>
      </c>
      <c r="C30">
        <v>1.8499999999999999E-2</v>
      </c>
      <c r="D30">
        <v>10</v>
      </c>
      <c r="E30">
        <f t="shared" si="0"/>
        <v>2.7821782178217824</v>
      </c>
      <c r="F30">
        <f t="shared" si="1"/>
        <v>7.217821782178218</v>
      </c>
      <c r="G30">
        <f t="shared" si="2"/>
        <v>72.178217821782169</v>
      </c>
      <c r="H30">
        <f t="shared" si="3"/>
        <v>7.2178217821782189</v>
      </c>
      <c r="I30">
        <f t="shared" si="4"/>
        <v>2.5943060498220643</v>
      </c>
      <c r="J30">
        <f t="shared" si="5"/>
        <v>0.95331906267491251</v>
      </c>
      <c r="K30">
        <f t="shared" si="6"/>
        <v>3.246753246753247E-3</v>
      </c>
      <c r="L30">
        <f t="shared" si="7"/>
        <v>2441.1755636204007</v>
      </c>
      <c r="M30">
        <f t="shared" si="8"/>
        <v>-2441.1755636204007</v>
      </c>
      <c r="N30">
        <f t="shared" si="9"/>
        <v>-2.4411755636204009</v>
      </c>
      <c r="P30">
        <v>3.246753246753247E-3</v>
      </c>
      <c r="Q30">
        <v>0.95331906267491251</v>
      </c>
    </row>
    <row r="31" spans="1:17" x14ac:dyDescent="0.3">
      <c r="B31">
        <f>40+273</f>
        <v>313</v>
      </c>
      <c r="C31">
        <v>1.942E-2</v>
      </c>
      <c r="D31">
        <v>10</v>
      </c>
      <c r="E31">
        <f t="shared" si="0"/>
        <v>2.8732673267326732</v>
      </c>
      <c r="F31">
        <f t="shared" si="1"/>
        <v>7.1267326732673268</v>
      </c>
      <c r="G31">
        <f t="shared" si="2"/>
        <v>71.267326732673268</v>
      </c>
      <c r="H31">
        <f t="shared" si="3"/>
        <v>7.1267326732673277</v>
      </c>
      <c r="I31">
        <f t="shared" si="4"/>
        <v>2.480358373535493</v>
      </c>
      <c r="J31">
        <f t="shared" si="5"/>
        <v>0.90840305519484299</v>
      </c>
      <c r="K31">
        <f t="shared" si="6"/>
        <v>3.1948881789137379E-3</v>
      </c>
      <c r="L31">
        <f t="shared" si="7"/>
        <v>2363.9209192785465</v>
      </c>
      <c r="M31">
        <f t="shared" si="8"/>
        <v>-2363.9209192785465</v>
      </c>
      <c r="N31">
        <f t="shared" si="9"/>
        <v>-2.3639209192785464</v>
      </c>
      <c r="P31">
        <v>3.1948881789137379E-3</v>
      </c>
      <c r="Q31">
        <v>0.90840305519484299</v>
      </c>
    </row>
    <row r="34" spans="8:11" x14ac:dyDescent="0.3">
      <c r="H34" t="s">
        <v>0</v>
      </c>
      <c r="I34" t="s">
        <v>17</v>
      </c>
      <c r="J34" t="s">
        <v>18</v>
      </c>
      <c r="K34" t="s">
        <v>19</v>
      </c>
    </row>
    <row r="35" spans="8:11" x14ac:dyDescent="0.3">
      <c r="H35">
        <v>298</v>
      </c>
      <c r="I35">
        <v>76.138613861386148</v>
      </c>
      <c r="J35">
        <v>74.455445544554465</v>
      </c>
      <c r="K35">
        <v>73.821782178217816</v>
      </c>
    </row>
    <row r="36" spans="8:11" x14ac:dyDescent="0.3">
      <c r="H36">
        <v>303</v>
      </c>
      <c r="I36">
        <v>75.544554455445549</v>
      </c>
      <c r="J36">
        <v>73.861386138613852</v>
      </c>
      <c r="K36">
        <v>73.78217821782178</v>
      </c>
    </row>
    <row r="37" spans="8:11" x14ac:dyDescent="0.3">
      <c r="H37">
        <v>308</v>
      </c>
      <c r="I37">
        <v>74.158415841584173</v>
      </c>
      <c r="J37">
        <v>73.564356435643575</v>
      </c>
      <c r="K37">
        <v>72.178217821782169</v>
      </c>
    </row>
    <row r="38" spans="8:11" x14ac:dyDescent="0.3">
      <c r="H38">
        <v>313</v>
      </c>
      <c r="I38">
        <v>72.871287128712865</v>
      </c>
      <c r="J38">
        <v>73.366336633663366</v>
      </c>
      <c r="K38">
        <v>71.267326732673268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