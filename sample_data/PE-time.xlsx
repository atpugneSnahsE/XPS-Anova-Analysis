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PE-Measurments\"/>
    </mc:Choice>
  </mc:AlternateContent>
  <xr:revisionPtr revIDLastSave="0" documentId="13_ncr:1_{529947AE-34DE-4111-B778-B801E6AE55E2}" xr6:coauthVersionLast="47" xr6:coauthVersionMax="47" xr10:uidLastSave="{00000000-0000-0000-0000-000000000000}"/>
  <bookViews>
    <workbookView xWindow="-108" yWindow="-108" windowWidth="23256" windowHeight="13896" xr2:uid="{A51AA3F3-001A-448D-81E7-9BE4B108A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H25" i="1"/>
  <c r="H26" i="1"/>
  <c r="H27" i="1"/>
  <c r="H32" i="1"/>
  <c r="H33" i="1"/>
  <c r="H34" i="1"/>
  <c r="H35" i="1"/>
  <c r="H36" i="1"/>
  <c r="H37" i="1"/>
  <c r="H42" i="1"/>
  <c r="L42" i="1" s="1"/>
  <c r="H43" i="1"/>
  <c r="H44" i="1"/>
  <c r="H45" i="1"/>
  <c r="H46" i="1"/>
  <c r="H47" i="1"/>
  <c r="H22" i="1"/>
  <c r="E33" i="1"/>
  <c r="E34" i="1"/>
  <c r="E35" i="1"/>
  <c r="E36" i="1"/>
  <c r="E37" i="1"/>
  <c r="E42" i="1"/>
  <c r="E43" i="1"/>
  <c r="E44" i="1"/>
  <c r="E45" i="1"/>
  <c r="E46" i="1"/>
  <c r="E47" i="1"/>
  <c r="E32" i="1"/>
  <c r="E23" i="1"/>
  <c r="E24" i="1"/>
  <c r="E25" i="1"/>
  <c r="E26" i="1"/>
  <c r="E27" i="1"/>
  <c r="E22" i="1"/>
  <c r="K22" i="1"/>
  <c r="M22" i="1"/>
  <c r="N22" i="1"/>
  <c r="M23" i="1"/>
  <c r="N23" i="1"/>
  <c r="M24" i="1"/>
  <c r="N24" i="1"/>
  <c r="M25" i="1"/>
  <c r="N25" i="1"/>
  <c r="M26" i="1"/>
  <c r="N26" i="1"/>
  <c r="M27" i="1"/>
  <c r="N27" i="1"/>
  <c r="N32" i="1"/>
  <c r="N33" i="1"/>
  <c r="N34" i="1"/>
  <c r="N35" i="1"/>
  <c r="N36" i="1"/>
  <c r="N37" i="1"/>
  <c r="N42" i="1"/>
  <c r="N43" i="1"/>
  <c r="N44" i="1"/>
  <c r="N45" i="1"/>
  <c r="N46" i="1"/>
  <c r="N47" i="1"/>
  <c r="M32" i="1"/>
  <c r="M33" i="1"/>
  <c r="M34" i="1"/>
  <c r="M35" i="1"/>
  <c r="M36" i="1"/>
  <c r="M37" i="1"/>
  <c r="M42" i="1"/>
  <c r="M43" i="1"/>
  <c r="M44" i="1"/>
  <c r="M45" i="1"/>
  <c r="M46" i="1"/>
  <c r="M47" i="1"/>
  <c r="F26" i="1" l="1"/>
  <c r="G26" i="1" s="1"/>
  <c r="F27" i="1"/>
  <c r="G27" i="1" s="1"/>
  <c r="L27" i="1"/>
  <c r="F25" i="1"/>
  <c r="G25" i="1" s="1"/>
  <c r="L25" i="1"/>
  <c r="F22" i="1"/>
  <c r="G22" i="1" s="1"/>
  <c r="F24" i="1"/>
  <c r="G24" i="1" s="1"/>
  <c r="L24" i="1"/>
  <c r="F23" i="1"/>
  <c r="G23" i="1" s="1"/>
  <c r="L23" i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32" i="1"/>
  <c r="G32" i="1" s="1"/>
  <c r="J32" i="1"/>
  <c r="K32" i="1" s="1"/>
  <c r="F33" i="1"/>
  <c r="G33" i="1" s="1"/>
  <c r="F34" i="1"/>
  <c r="G34" i="1" s="1"/>
  <c r="F35" i="1"/>
  <c r="G35" i="1" s="1"/>
  <c r="F36" i="1"/>
  <c r="G36" i="1" s="1"/>
  <c r="F37" i="1"/>
  <c r="G37" i="1" s="1"/>
  <c r="J26" i="1" l="1"/>
  <c r="K26" i="1" s="1"/>
  <c r="L26" i="1"/>
  <c r="O26" i="1"/>
  <c r="P26" i="1" s="1"/>
  <c r="Q26" i="1" s="1"/>
  <c r="L46" i="1"/>
  <c r="J46" i="1"/>
  <c r="K46" i="1" s="1"/>
  <c r="L45" i="1"/>
  <c r="J45" i="1"/>
  <c r="K45" i="1" s="1"/>
  <c r="J25" i="1"/>
  <c r="K25" i="1" s="1"/>
  <c r="L47" i="1"/>
  <c r="J47" i="1"/>
  <c r="K47" i="1" s="1"/>
  <c r="L44" i="1"/>
  <c r="J44" i="1"/>
  <c r="K44" i="1" s="1"/>
  <c r="L43" i="1"/>
  <c r="J43" i="1"/>
  <c r="K43" i="1" s="1"/>
  <c r="O27" i="1"/>
  <c r="P27" i="1" s="1"/>
  <c r="Q27" i="1" s="1"/>
  <c r="J27" i="1"/>
  <c r="K27" i="1" s="1"/>
  <c r="O25" i="1"/>
  <c r="P25" i="1" s="1"/>
  <c r="Q25" i="1" s="1"/>
  <c r="O22" i="1"/>
  <c r="P22" i="1" s="1"/>
  <c r="Q22" i="1" s="1"/>
  <c r="L22" i="1"/>
  <c r="O24" i="1"/>
  <c r="P24" i="1" s="1"/>
  <c r="Q24" i="1" s="1"/>
  <c r="J24" i="1"/>
  <c r="K24" i="1" s="1"/>
  <c r="O23" i="1"/>
  <c r="P23" i="1" s="1"/>
  <c r="Q23" i="1" s="1"/>
  <c r="J23" i="1"/>
  <c r="K23" i="1" s="1"/>
  <c r="O47" i="1"/>
  <c r="P47" i="1" s="1"/>
  <c r="Q47" i="1" s="1"/>
  <c r="O46" i="1"/>
  <c r="P46" i="1" s="1"/>
  <c r="Q46" i="1" s="1"/>
  <c r="O45" i="1"/>
  <c r="P45" i="1" s="1"/>
  <c r="Q45" i="1" s="1"/>
  <c r="O44" i="1"/>
  <c r="P44" i="1" s="1"/>
  <c r="Q44" i="1" s="1"/>
  <c r="O43" i="1"/>
  <c r="P43" i="1" s="1"/>
  <c r="Q43" i="1" s="1"/>
  <c r="K42" i="1"/>
  <c r="O42" i="1"/>
  <c r="P42" i="1" s="1"/>
  <c r="Q42" i="1" s="1"/>
  <c r="O32" i="1"/>
  <c r="P32" i="1" s="1"/>
  <c r="Q32" i="1" s="1"/>
  <c r="L32" i="1"/>
  <c r="O33" i="1"/>
  <c r="P33" i="1" s="1"/>
  <c r="Q33" i="1" s="1"/>
  <c r="L33" i="1"/>
  <c r="J33" i="1"/>
  <c r="K33" i="1" s="1"/>
  <c r="O34" i="1"/>
  <c r="P34" i="1" s="1"/>
  <c r="Q34" i="1" s="1"/>
  <c r="L34" i="1"/>
  <c r="J34" i="1"/>
  <c r="K34" i="1" s="1"/>
  <c r="O35" i="1"/>
  <c r="P35" i="1" s="1"/>
  <c r="Q35" i="1" s="1"/>
  <c r="L35" i="1"/>
  <c r="J35" i="1"/>
  <c r="K35" i="1" s="1"/>
  <c r="O36" i="1"/>
  <c r="P36" i="1" s="1"/>
  <c r="Q36" i="1" s="1"/>
  <c r="L36" i="1"/>
  <c r="J36" i="1"/>
  <c r="K36" i="1" s="1"/>
  <c r="O37" i="1"/>
  <c r="P37" i="1" s="1"/>
  <c r="Q37" i="1" s="1"/>
  <c r="L37" i="1"/>
  <c r="J37" i="1"/>
  <c r="K37" i="1" s="1"/>
</calcChain>
</file>

<file path=xl/sharedStrings.xml><?xml version="1.0" encoding="utf-8"?>
<sst xmlns="http://schemas.openxmlformats.org/spreadsheetml/2006/main" count="86" uniqueCount="24">
  <si>
    <t>conc. Mg/L</t>
  </si>
  <si>
    <t>Absorbance</t>
  </si>
  <si>
    <t>initial concentration</t>
  </si>
  <si>
    <t>mg/L</t>
  </si>
  <si>
    <t>Final concentration</t>
  </si>
  <si>
    <t>adsorbed</t>
  </si>
  <si>
    <t xml:space="preserve">% Adsorption </t>
  </si>
  <si>
    <t>GO-MCC50</t>
  </si>
  <si>
    <t>GO-MCC90</t>
  </si>
  <si>
    <t>Time</t>
  </si>
  <si>
    <t>GO-CO</t>
  </si>
  <si>
    <t>qe</t>
  </si>
  <si>
    <t>qe-qt</t>
  </si>
  <si>
    <t>log(qe-qt)</t>
  </si>
  <si>
    <t>t/qt</t>
  </si>
  <si>
    <t>lnt</t>
  </si>
  <si>
    <t>F=qt/qe</t>
  </si>
  <si>
    <t>1-F</t>
  </si>
  <si>
    <t>ln(1-F)</t>
  </si>
  <si>
    <t>t1/2</t>
  </si>
  <si>
    <t>GO-CS</t>
  </si>
  <si>
    <t>qT=(Ci-Ce)*V/m</t>
  </si>
  <si>
    <t>GO-MCC50µm</t>
  </si>
  <si>
    <t>GO-MCC90µm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</si>
</sst>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0"/>
      <color theme="1"/>
      <name val="Times New Roman"/>
      <family val="1"/>
    </font>
    <font>
      <sz val="22"/>
      <color theme="1"/>
      <name val="Times New Roman"/>
      <family val="1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093832020997379"/>
                  <c:y val="-2.145304753572470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Sheet1!$C$5:$C$9</c:f>
              <c:numCache>
                <c:formatCode>General</c:formatCode>
                <c:ptCount val="5"/>
                <c:pt idx="0">
                  <c:v>5.0799999999999998E-2</c:v>
                </c:pt>
                <c:pt idx="1">
                  <c:v>5.3699999999999998E-2</c:v>
                </c:pt>
                <c:pt idx="2">
                  <c:v>6.2399999999999997E-2</c:v>
                </c:pt>
                <c:pt idx="3">
                  <c:v>7.7640000000000001E-2</c:v>
                </c:pt>
                <c:pt idx="4">
                  <c:v>0.10376000000000001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A-461B-ACB7-2B7704712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505168"/>
        <c:axId val="1929506128"/>
      </c:scatterChart>
      <c:valAx>
        <c:axId val="19295051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6128"/>
        <c:crosses val="autoZero"/>
        <c:crossBetween val="midCat"/>
      </c:valAx>
      <c:valAx>
        <c:axId val="1929506128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16491620215345"/>
          <c:y val="4.3378101479916747E-2"/>
          <c:w val="0.84323252084234557"/>
          <c:h val="0.7861685277168547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Sheet1!$AA$4</c:f>
              <c:strCache>
                <c:ptCount val="1"/>
                <c:pt idx="0">
                  <c:v>GO-CS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Sheet1!$Z$5:$Z$10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Sheet1!$AA$5:$AA$10</c:f>
              <c:numCache>
                <c:formatCode>General</c:formatCode>
                <c:ptCount val="6"/>
                <c:pt idx="0">
                  <c:v>62.142857142857153</c:v>
                </c:pt>
                <c:pt idx="1">
                  <c:v>66.428571428571416</c:v>
                </c:pt>
                <c:pt idx="2">
                  <c:v>68.571428571428555</c:v>
                </c:pt>
                <c:pt idx="3">
                  <c:v>72.142857142857139</c:v>
                </c:pt>
                <c:pt idx="4">
                  <c:v>77.142857142857139</c:v>
                </c:pt>
                <c:pt idx="5">
                  <c:v>85.714285714285694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EC-4799-9CDD-EB83B4117F9A}"/>
            </c:ext>
          </c:extLst>
        </c:ser>
        <c:ser>
          <c:idx val="1"/>
          <c:order val="1"/>
          <c:tx>
            <c:strRef>
              <c:f>Sheet1!$AB$4</c:f>
              <c:strCache>
                <c:ptCount val="1"/>
                <c:pt idx="0">
                  <c:v>GO-MCC50µm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Sheet1!$Z$5:$Z$10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Sheet1!$AB$5:$AB$10</c:f>
              <c:numCache>
                <c:formatCode>General</c:formatCode>
                <c:ptCount val="6"/>
                <c:pt idx="0">
                  <c:v>55.785714285714278</c:v>
                </c:pt>
                <c:pt idx="1">
                  <c:v>60.142857142857125</c:v>
                </c:pt>
                <c:pt idx="2">
                  <c:v>65.285714285714263</c:v>
                </c:pt>
                <c:pt idx="3">
                  <c:v>69.999999999999972</c:v>
                </c:pt>
                <c:pt idx="4">
                  <c:v>74.428571428571431</c:v>
                </c:pt>
                <c:pt idx="5">
                  <c:v>82.857142857142861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EC-4799-9CDD-EB83B4117F9A}"/>
            </c:ext>
          </c:extLst>
        </c:ser>
        <c:ser>
          <c:idx val="2"/>
          <c:order val="2"/>
          <c:tx>
            <c:strRef>
              <c:f>Sheet1!$AC$4</c:f>
              <c:strCache>
                <c:ptCount val="1"/>
                <c:pt idx="0">
                  <c:v>GO-MCC90µm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Sheet1!$Z$5:$Z$10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Sheet1!$AC$5:$AC$10</c:f>
              <c:numCache>
                <c:formatCode>General</c:formatCode>
                <c:ptCount val="6"/>
                <c:pt idx="0">
                  <c:v>53.571428571428577</c:v>
                </c:pt>
                <c:pt idx="1">
                  <c:v>60.71428571428568</c:v>
                </c:pt>
                <c:pt idx="2">
                  <c:v>62.142857142857153</c:v>
                </c:pt>
                <c:pt idx="3">
                  <c:v>67.142857142857139</c:v>
                </c:pt>
                <c:pt idx="4">
                  <c:v>73.571428571428555</c:v>
                </c:pt>
                <c:pt idx="5">
                  <c:v>78.571428571428555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EC-4799-9CDD-EB83B4117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986015"/>
        <c:axId val="335989855"/>
      </c:scatterChart>
      <c:valAx>
        <c:axId val="335986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layout>
            <c:manualLayout>
              <c:xMode val="edge"/>
              <c:yMode val="edge"/>
              <c:x val="0.41377141227187275"/>
              <c:y val="0.906488776105566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35989855"/>
        <c:crosses val="autoZero"/>
        <c:crossBetween val="midCat"/>
      </c:valAx>
      <c:valAx>
        <c:axId val="335989855"/>
        <c:scaling>
          <c:orientation val="minMax"/>
          <c:max val="90"/>
          <c:min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 (%) </a:t>
                </a:r>
              </a:p>
            </c:rich>
          </c:tx>
          <c:layout>
            <c:manualLayout>
              <c:xMode val="edge"/>
              <c:yMode val="edge"/>
              <c:x val="1.1746621785808672E-2"/>
              <c:y val="0.243359705824420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35986015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1180231357033463"/>
          <c:y val="0.54061908350985066"/>
          <c:w val="0.22842407018504338"/>
          <c:h val="0.25066160357789924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Sheet1!$AG$36</c:f>
              <c:strCache>
                <c:ptCount val="1"/>
                <c:pt idx="0">
                  <c:v>t/qt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Sheet1!$AF$37:$AF$42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Sheet1!$AG$37:$AG$42</c:f>
              <c:numCache>
                <c:formatCode>General</c:formatCode>
                <c:ptCount val="6"/>
                <c:pt idx="0">
                  <c:v>1.7925736235595395</c:v>
                </c:pt>
                <c:pt idx="1">
                  <c:v>3.3254156769596208</c:v>
                </c:pt>
                <c:pt idx="2">
                  <c:v>9.1903719912472681</c:v>
                </c:pt>
                <c:pt idx="3">
                  <c:v>17.142857142857146</c:v>
                </c:pt>
                <c:pt idx="4">
                  <c:v>48.368522072936656</c:v>
                </c:pt>
                <c:pt idx="5">
                  <c:v>347.58620689655169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E3-4736-A30C-BE83D01FF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380640"/>
        <c:axId val="877405600"/>
      </c:scatterChart>
      <c:valAx>
        <c:axId val="87738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9338242979726454"/>
              <c:y val="0.881749756649876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05600"/>
        <c:crosses val="autoZero"/>
        <c:crossBetween val="midCat"/>
      </c:valAx>
      <c:valAx>
        <c:axId val="877405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t/qt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38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Sheet1!$AG$50</c:f>
              <c:strCache>
                <c:ptCount val="1"/>
                <c:pt idx="0">
                  <c:v>t/qt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Sheet1!$AF$51:$AF$56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Sheet1!$AG$51:$AG$56</c:f>
              <c:numCache>
                <c:formatCode>General</c:formatCode>
                <c:ptCount val="6"/>
                <c:pt idx="0">
                  <c:v>1.8666666666666665</c:v>
                </c:pt>
                <c:pt idx="1">
                  <c:v>3.2941176470588256</c:v>
                </c:pt>
                <c:pt idx="2">
                  <c:v>9.6551724137931014</c:v>
                </c:pt>
                <c:pt idx="3">
                  <c:v>17.872340425531917</c:v>
                </c:pt>
                <c:pt idx="4">
                  <c:v>48.932038834951463</c:v>
                </c:pt>
                <c:pt idx="5">
                  <c:v>366.54545454545462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DC-46AF-8355-9FE64072D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144720"/>
        <c:axId val="576132720"/>
      </c:scatterChart>
      <c:valAx>
        <c:axId val="576144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32720"/>
        <c:crosses val="autoZero"/>
        <c:crossBetween val="midCat"/>
      </c:valAx>
      <c:valAx>
        <c:axId val="5761327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t/qt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4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Sheet1!$U$31</c:f>
              <c:strCache>
                <c:ptCount val="1"/>
                <c:pt idx="0">
                  <c:v>log(qe-qt)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Sheet1!$T$32:$T$36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Sheet1!$U$32:$U$36</c:f>
              <c:numCache>
                <c:formatCode>General</c:formatCode>
                <c:ptCount val="5"/>
                <c:pt idx="0">
                  <c:v>0.13148117862585343</c:v>
                </c:pt>
                <c:pt idx="1">
                  <c:v>5.526908864221395E-2</c:v>
                </c:pt>
                <c:pt idx="2">
                  <c:v>-5.6222924238839442E-2</c:v>
                </c:pt>
                <c:pt idx="3">
                  <c:v>-0.19188552623891231</c:v>
                </c:pt>
                <c:pt idx="4">
                  <c:v>-0.37527602403609356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5F-422D-9834-26472AC43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874240"/>
        <c:axId val="1014871840"/>
      </c:scatterChart>
      <c:valAx>
        <c:axId val="1014874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8088343015022261"/>
              <c:y val="0.898331213461044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871840"/>
        <c:crosses val="autoZero"/>
        <c:crossBetween val="midCat"/>
      </c:valAx>
      <c:valAx>
        <c:axId val="1014871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log(qe-qt)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874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Sheet1!$U$53</c:f>
              <c:strCache>
                <c:ptCount val="1"/>
                <c:pt idx="0">
                  <c:v>log(qe-qt)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Sheet1!$T$54:$T$57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</c:numCache>
            </c:numRef>
          </c:xVal>
          <c:yVal>
            <c:numRef>
              <c:f>Sheet1!$U$54:$U$57</c:f>
              <c:numCache>
                <c:formatCode>General</c:formatCode>
                <c:ptCount val="4"/>
                <c:pt idx="0">
                  <c:v>0.64696356449834225</c:v>
                </c:pt>
                <c:pt idx="1">
                  <c:v>-4.9218022670180994E-2</c:v>
                </c:pt>
                <c:pt idx="2">
                  <c:v>-8.5430195324626951E-2</c:v>
                </c:pt>
                <c:pt idx="3">
                  <c:v>-0.24303804868629464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5F-449D-AA8C-065128B56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897488"/>
        <c:axId val="1767484256"/>
      </c:scatterChart>
      <c:valAx>
        <c:axId val="1011897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484256"/>
        <c:crosses val="autoZero"/>
        <c:crossBetween val="midCat"/>
      </c:valAx>
      <c:valAx>
        <c:axId val="1767484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log(qe-qt)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97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Sheet1!$U$22</c:f>
              <c:strCache>
                <c:ptCount val="1"/>
                <c:pt idx="0">
                  <c:v>log(qe-qt)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7367205623624548E-2"/>
                  <c:y val="-0.600313823944766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Sheet1!$T$23:$T$27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Sheet1!$U$23:$U$27</c:f>
              <c:numCache>
                <c:formatCode>General</c:formatCode>
                <c:ptCount val="5"/>
                <c:pt idx="0">
                  <c:v>0.64824202386500485</c:v>
                </c:pt>
                <c:pt idx="1">
                  <c:v>-1.5794267183231851E-2</c:v>
                </c:pt>
                <c:pt idx="2">
                  <c:v>-6.6946789630613388E-2</c:v>
                </c:pt>
                <c:pt idx="3">
                  <c:v>-0.16840443038939065</c:v>
                </c:pt>
                <c:pt idx="4">
                  <c:v>-0.36797678529459504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50-47B8-AE05-79111F14C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708383"/>
        <c:axId val="1589706943"/>
      </c:scatterChart>
      <c:valAx>
        <c:axId val="1589708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51123409174696888"/>
              <c:y val="0.8787175114065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706943"/>
        <c:crosses val="autoZero"/>
        <c:crossBetween val="midCat"/>
      </c:valAx>
      <c:valAx>
        <c:axId val="15897069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log(qe-qt)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708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Sheet1!$AG$22</c:f>
              <c:strCache>
                <c:ptCount val="1"/>
                <c:pt idx="0">
                  <c:v>t/qt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Sheet1!$AF$23:$AF$28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Sheet1!$AG$23:$AG$28</c:f>
              <c:numCache>
                <c:formatCode>General</c:formatCode>
                <c:ptCount val="6"/>
                <c:pt idx="0">
                  <c:v>1.6091954022988504</c:v>
                </c:pt>
                <c:pt idx="1">
                  <c:v>3.0107526881720439</c:v>
                </c:pt>
                <c:pt idx="2">
                  <c:v>8.7500000000000018</c:v>
                </c:pt>
                <c:pt idx="3">
                  <c:v>16.633663366336634</c:v>
                </c:pt>
                <c:pt idx="4">
                  <c:v>46.666666666666671</c:v>
                </c:pt>
                <c:pt idx="5">
                  <c:v>336.00000000000006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F1-4459-82E4-9E5616F62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031376"/>
        <c:axId val="1413040976"/>
      </c:scatterChart>
      <c:valAx>
        <c:axId val="1413031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040976"/>
        <c:crosses val="autoZero"/>
        <c:crossBetween val="midCat"/>
      </c:valAx>
      <c:valAx>
        <c:axId val="1413040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t/qt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03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Sheet1!$BM$18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Sheet1!$BL$19:$BL$24</c:f>
              <c:numCache>
                <c:formatCode>General</c:formatCode>
                <c:ptCount val="6"/>
                <c:pt idx="0">
                  <c:v>1.6094379124341003</c:v>
                </c:pt>
                <c:pt idx="1">
                  <c:v>2.3025850929940459</c:v>
                </c:pt>
                <c:pt idx="2">
                  <c:v>3.4011973816621555</c:v>
                </c:pt>
                <c:pt idx="3">
                  <c:v>4.0943445622221004</c:v>
                </c:pt>
                <c:pt idx="4">
                  <c:v>5.1929568508902104</c:v>
                </c:pt>
                <c:pt idx="5">
                  <c:v>7.2723983925700466</c:v>
                </c:pt>
              </c:numCache>
            </c:numRef>
          </c:xVal>
          <c:yVal>
            <c:numRef>
              <c:f>Sheet1!$BM$19:$BM$24</c:f>
              <c:numCache>
                <c:formatCode>General</c:formatCode>
                <c:ptCount val="6"/>
                <c:pt idx="0">
                  <c:v>3.1071428571428577</c:v>
                </c:pt>
                <c:pt idx="1">
                  <c:v>3.3214285714285703</c:v>
                </c:pt>
                <c:pt idx="2">
                  <c:v>3.4285714285714279</c:v>
                </c:pt>
                <c:pt idx="3">
                  <c:v>3.6071428571428568</c:v>
                </c:pt>
                <c:pt idx="4">
                  <c:v>3.8571428571428568</c:v>
                </c:pt>
                <c:pt idx="5">
                  <c:v>4.2857142857142847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BA-483A-B09E-C1A726B7F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721343"/>
        <c:axId val="1453721823"/>
      </c:scatterChart>
      <c:valAx>
        <c:axId val="1453721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21823"/>
        <c:crosses val="autoZero"/>
        <c:crossBetween val="midCat"/>
      </c:valAx>
      <c:valAx>
        <c:axId val="14537218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qT=(Ci-Ce)*V/m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21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Sheet1!$BM$28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Sheet1!$BL$29:$BL$34</c:f>
              <c:numCache>
                <c:formatCode>General</c:formatCode>
                <c:ptCount val="6"/>
                <c:pt idx="0">
                  <c:v>1.6094379124341003</c:v>
                </c:pt>
                <c:pt idx="1">
                  <c:v>2.3025850929940459</c:v>
                </c:pt>
                <c:pt idx="2">
                  <c:v>3.4011973816621555</c:v>
                </c:pt>
                <c:pt idx="3">
                  <c:v>4.0943445622221004</c:v>
                </c:pt>
                <c:pt idx="4">
                  <c:v>5.1929568508902104</c:v>
                </c:pt>
                <c:pt idx="5">
                  <c:v>7.2723983925700466</c:v>
                </c:pt>
              </c:numCache>
            </c:numRef>
          </c:xVal>
          <c:yVal>
            <c:numRef>
              <c:f>(Sheet1!$BM$29:$BM$34,Sheet1!$BM$38)</c:f>
              <c:numCache>
                <c:formatCode>General</c:formatCode>
                <c:ptCount val="7"/>
                <c:pt idx="0">
                  <c:v>2.7892857142857137</c:v>
                </c:pt>
                <c:pt idx="1">
                  <c:v>3.0071428571428562</c:v>
                </c:pt>
                <c:pt idx="2">
                  <c:v>3.2642857142857133</c:v>
                </c:pt>
                <c:pt idx="3">
                  <c:v>3.4999999999999991</c:v>
                </c:pt>
                <c:pt idx="4">
                  <c:v>3.7214285714285715</c:v>
                </c:pt>
                <c:pt idx="5">
                  <c:v>4.1428571428571432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A7-4727-83C8-BC3F59D7A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200575"/>
        <c:axId val="1486195295"/>
      </c:scatterChart>
      <c:valAx>
        <c:axId val="1486200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95295"/>
        <c:crosses val="autoZero"/>
        <c:crossBetween val="midCat"/>
      </c:valAx>
      <c:valAx>
        <c:axId val="1486195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qT=(Ci-Ce)*V/m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200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69486365776467"/>
          <c:y val="0.13588518119103074"/>
          <c:w val="0.81734674000679597"/>
          <c:h val="0.6106387703221294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Sheet1!$BL$39:$BL$44</c:f>
              <c:numCache>
                <c:formatCode>General</c:formatCode>
                <c:ptCount val="6"/>
                <c:pt idx="0">
                  <c:v>1.6094379124341003</c:v>
                </c:pt>
                <c:pt idx="1">
                  <c:v>2.3025850929940459</c:v>
                </c:pt>
                <c:pt idx="2">
                  <c:v>3.4011973816621555</c:v>
                </c:pt>
                <c:pt idx="3">
                  <c:v>4.0943445622221004</c:v>
                </c:pt>
                <c:pt idx="4">
                  <c:v>5.1929568508902104</c:v>
                </c:pt>
                <c:pt idx="5">
                  <c:v>7.2723983925700466</c:v>
                </c:pt>
              </c:numCache>
            </c:numRef>
          </c:xVal>
          <c:yVal>
            <c:numRef>
              <c:f>Sheet1!$BM$39:$BM$44</c:f>
              <c:numCache>
                <c:formatCode>General</c:formatCode>
                <c:ptCount val="6"/>
                <c:pt idx="0">
                  <c:v>2.6785714285714288</c:v>
                </c:pt>
                <c:pt idx="1">
                  <c:v>3.0357142857142838</c:v>
                </c:pt>
                <c:pt idx="2">
                  <c:v>3.1071428571428577</c:v>
                </c:pt>
                <c:pt idx="3">
                  <c:v>3.3571428571428568</c:v>
                </c:pt>
                <c:pt idx="4">
                  <c:v>3.6785714285714279</c:v>
                </c:pt>
                <c:pt idx="5">
                  <c:v>3.9285714285714279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38-4E78-9D70-DCC0D7F32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098079"/>
        <c:axId val="1488089919"/>
      </c:scatterChart>
      <c:valAx>
        <c:axId val="1488098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089919"/>
        <c:crosses val="autoZero"/>
        <c:crossBetween val="midCat"/>
      </c:valAx>
      <c:valAx>
        <c:axId val="1488089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qT=(Ci-Ce)*V/m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"/>
              <c:y val="0.413331715284365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09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Sheet1!$BD$47</c:f>
              <c:strCache>
                <c:ptCount val="1"/>
                <c:pt idx="0">
                  <c:v>ln(1-F)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Sheet1!$BC$48:$BC$52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Sheet1!$BD$48:$BD$52</c:f>
              <c:numCache>
                <c:formatCode>General</c:formatCode>
                <c:ptCount val="5"/>
                <c:pt idx="0">
                  <c:v>-1.1451323043030031</c:v>
                </c:pt>
                <c:pt idx="1">
                  <c:v>-1.481604540924214</c:v>
                </c:pt>
                <c:pt idx="2">
                  <c:v>-1.5649861498632676</c:v>
                </c:pt>
                <c:pt idx="3">
                  <c:v>-1.9278916435526354</c:v>
                </c:pt>
                <c:pt idx="4">
                  <c:v>-2.7545702167371036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B1-462F-8A1D-331478CED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701087"/>
        <c:axId val="1494705887"/>
      </c:scatterChart>
      <c:valAx>
        <c:axId val="1494701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05887"/>
        <c:crosses val="autoZero"/>
        <c:crossBetween val="midCat"/>
      </c:valAx>
      <c:valAx>
        <c:axId val="1494705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ln(1-F)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01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Sheet1!$BD$19</c:f>
              <c:strCache>
                <c:ptCount val="1"/>
                <c:pt idx="0">
                  <c:v>ln(1-F)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Sheet1!$BC$20:$BC$24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Sheet1!$BD$20:$BD$24</c:f>
              <c:numCache>
                <c:formatCode>General</c:formatCode>
                <c:ptCount val="5"/>
                <c:pt idx="0">
                  <c:v>-1.2909841813155669</c:v>
                </c:pt>
                <c:pt idx="1">
                  <c:v>-1.4916548767777165</c:v>
                </c:pt>
                <c:pt idx="2">
                  <c:v>-1.6094379124341005</c:v>
                </c:pt>
                <c:pt idx="3">
                  <c:v>-1.8430527636156062</c:v>
                </c:pt>
                <c:pt idx="4">
                  <c:v>-2.3025850929940472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C1-4BDC-A44A-E248A2A3B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543583"/>
        <c:axId val="1187541183"/>
      </c:scatterChart>
      <c:valAx>
        <c:axId val="1187543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55631568219758365"/>
              <c:y val="0.89159387798564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41183"/>
        <c:crosses val="autoZero"/>
        <c:crossBetween val="midCat"/>
      </c:valAx>
      <c:valAx>
        <c:axId val="1187541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ln(1-F)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4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Sheet1!$BD$29</c:f>
              <c:strCache>
                <c:ptCount val="1"/>
                <c:pt idx="0">
                  <c:v>ln(1-F)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Sheet1!$BC$30:$BC$34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Sheet1!$BD$30:$BD$34</c:f>
              <c:numCache>
                <c:formatCode>General</c:formatCode>
                <c:ptCount val="5"/>
                <c:pt idx="0">
                  <c:v>-1.1186390790179832</c:v>
                </c:pt>
                <c:pt idx="1">
                  <c:v>-1.2941239013202326</c:v>
                </c:pt>
                <c:pt idx="2">
                  <c:v>-1.5508437481680464</c:v>
                </c:pt>
                <c:pt idx="3">
                  <c:v>-1.863218433210198</c:v>
                </c:pt>
                <c:pt idx="4">
                  <c:v>-2.2854906596347453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27-43AB-A75F-479595207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195775"/>
        <c:axId val="1486190495"/>
      </c:scatterChart>
      <c:valAx>
        <c:axId val="1486195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90495"/>
        <c:crosses val="autoZero"/>
        <c:crossBetween val="midCat"/>
      </c:valAx>
      <c:valAx>
        <c:axId val="14861904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ln(1-F)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95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Sheet1!$AS$19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Sheet1!$AR$20:$AR$25</c:f>
              <c:numCache>
                <c:formatCode>General</c:formatCode>
                <c:ptCount val="6"/>
                <c:pt idx="0">
                  <c:v>2.2360679774997898</c:v>
                </c:pt>
                <c:pt idx="1">
                  <c:v>3.1622776601683795</c:v>
                </c:pt>
                <c:pt idx="2">
                  <c:v>5.4772255750516612</c:v>
                </c:pt>
                <c:pt idx="3">
                  <c:v>7.745966692414834</c:v>
                </c:pt>
                <c:pt idx="4">
                  <c:v>13.416407864998739</c:v>
                </c:pt>
                <c:pt idx="5">
                  <c:v>37.947331922020552</c:v>
                </c:pt>
              </c:numCache>
            </c:numRef>
          </c:xVal>
          <c:yVal>
            <c:numRef>
              <c:f>Sheet1!$AS$20:$AS$25</c:f>
              <c:numCache>
                <c:formatCode>General</c:formatCode>
                <c:ptCount val="6"/>
                <c:pt idx="0">
                  <c:v>3.1071428571428577</c:v>
                </c:pt>
                <c:pt idx="1">
                  <c:v>3.3214285714285703</c:v>
                </c:pt>
                <c:pt idx="2">
                  <c:v>3.4285714285714279</c:v>
                </c:pt>
                <c:pt idx="3">
                  <c:v>3.6071428571428568</c:v>
                </c:pt>
                <c:pt idx="4">
                  <c:v>3.8571428571428568</c:v>
                </c:pt>
                <c:pt idx="5">
                  <c:v>4.2857142857142847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54-4F90-9107-71A81940C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692287"/>
        <c:axId val="1240692767"/>
      </c:scatterChart>
      <c:valAx>
        <c:axId val="1240692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t1/2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692767"/>
        <c:crosses val="autoZero"/>
        <c:crossBetween val="midCat"/>
      </c:valAx>
      <c:valAx>
        <c:axId val="1240692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692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Sheet1!$AS$29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Sheet1!$AR$30:$AR$34</c:f>
              <c:numCache>
                <c:formatCode>General</c:formatCode>
                <c:ptCount val="5"/>
                <c:pt idx="0">
                  <c:v>2.2360679774997898</c:v>
                </c:pt>
                <c:pt idx="1">
                  <c:v>3.1622776601683795</c:v>
                </c:pt>
                <c:pt idx="2">
                  <c:v>5.4772255750516612</c:v>
                </c:pt>
                <c:pt idx="3">
                  <c:v>7.745966692414834</c:v>
                </c:pt>
                <c:pt idx="4">
                  <c:v>13.416407864998739</c:v>
                </c:pt>
              </c:numCache>
            </c:numRef>
          </c:xVal>
          <c:yVal>
            <c:numRef>
              <c:f>Sheet1!$AS$30:$AS$34</c:f>
              <c:numCache>
                <c:formatCode>General</c:formatCode>
                <c:ptCount val="5"/>
                <c:pt idx="0">
                  <c:v>2.7892857142857137</c:v>
                </c:pt>
                <c:pt idx="1">
                  <c:v>3.0071428571428562</c:v>
                </c:pt>
                <c:pt idx="2">
                  <c:v>3.2642857142857133</c:v>
                </c:pt>
                <c:pt idx="3">
                  <c:v>3.4999999999999991</c:v>
                </c:pt>
                <c:pt idx="4">
                  <c:v>3.7214285714285715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8C-4765-9701-53ED7ECEA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224303"/>
        <c:axId val="1488226223"/>
      </c:scatterChart>
      <c:valAx>
        <c:axId val="1488224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t1/2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226223"/>
        <c:crosses val="autoZero"/>
        <c:crossBetween val="midCat"/>
      </c:valAx>
      <c:valAx>
        <c:axId val="1488226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22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Sheet1!$AS$39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Sheet1!$AR$40:$AR$45</c:f>
              <c:numCache>
                <c:formatCode>General</c:formatCode>
                <c:ptCount val="6"/>
                <c:pt idx="0">
                  <c:v>2.2360679774997898</c:v>
                </c:pt>
                <c:pt idx="1">
                  <c:v>3.1622776601683795</c:v>
                </c:pt>
                <c:pt idx="2">
                  <c:v>5.4772255750516612</c:v>
                </c:pt>
                <c:pt idx="3">
                  <c:v>7.745966692414834</c:v>
                </c:pt>
                <c:pt idx="4">
                  <c:v>13.416407864998739</c:v>
                </c:pt>
                <c:pt idx="5">
                  <c:v>37.947331922020552</c:v>
                </c:pt>
              </c:numCache>
            </c:numRef>
          </c:xVal>
          <c:yVal>
            <c:numRef>
              <c:f>Sheet1!$AS$40:$AS$45</c:f>
              <c:numCache>
                <c:formatCode>General</c:formatCode>
                <c:ptCount val="6"/>
                <c:pt idx="0">
                  <c:v>2.6785714285714288</c:v>
                </c:pt>
                <c:pt idx="1">
                  <c:v>3.0357142857142838</c:v>
                </c:pt>
                <c:pt idx="2">
                  <c:v>3.1071428571428577</c:v>
                </c:pt>
                <c:pt idx="3">
                  <c:v>3.3571428571428568</c:v>
                </c:pt>
                <c:pt idx="4">
                  <c:v>3.6785714285714279</c:v>
                </c:pt>
                <c:pt idx="5">
                  <c:v>3.9285714285714279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BD-443E-BBE0-8E116D90E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717775"/>
        <c:axId val="1483722575"/>
      </c:scatterChart>
      <c:valAx>
        <c:axId val="1483717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t1/2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22575"/>
        <c:crosses val="autoZero"/>
        <c:crossBetween val="midCat"/>
      </c:valAx>
      <c:valAx>
        <c:axId val="14837225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17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2</xdr:row>
      <xdr:rowOff>156210</xdr:rowOff>
    </xdr:from>
    <xdr:to>
      <xdr:col>13</xdr:col>
      <xdr:colOff>22860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817B67-E1AE-9587-53A1-DF03B467D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277090</xdr:colOff>
      <xdr:row>0</xdr:row>
      <xdr:rowOff>30207</xdr:rowOff>
    </xdr:from>
    <xdr:to>
      <xdr:col>23</xdr:col>
      <xdr:colOff>4211</xdr:colOff>
      <xdr:row>18</xdr:row>
      <xdr:rowOff>72628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92B000-FB63-8F1A-FA71-8D1041B34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187854</xdr:colOff>
      <xdr:row>33</xdr:row>
      <xdr:rowOff>119327</xdr:rowOff>
    </xdr:from>
    <xdr:to>
      <xdr:col>41</xdr:col>
      <xdr:colOff>484187</xdr:colOff>
      <xdr:row>48</xdr:row>
      <xdr:rowOff>52652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0D5182C-96FA-BC54-6279-4F589DCC5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275166</xdr:colOff>
      <xdr:row>50</xdr:row>
      <xdr:rowOff>164305</xdr:rowOff>
    </xdr:from>
    <xdr:to>
      <xdr:col>41</xdr:col>
      <xdr:colOff>571499</xdr:colOff>
      <xdr:row>66</xdr:row>
      <xdr:rowOff>113506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7961F83-17C6-63EA-430F-04226E6E9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167706</xdr:colOff>
      <xdr:row>33</xdr:row>
      <xdr:rowOff>64477</xdr:rowOff>
    </xdr:from>
    <xdr:to>
      <xdr:col>29</xdr:col>
      <xdr:colOff>508001</xdr:colOff>
      <xdr:row>47</xdr:row>
      <xdr:rowOff>148818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9740C8-1DF5-29BA-A09B-9A2093BE7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144910</xdr:colOff>
      <xdr:row>49</xdr:row>
      <xdr:rowOff>10746</xdr:rowOff>
    </xdr:from>
    <xdr:to>
      <xdr:col>29</xdr:col>
      <xdr:colOff>477064</xdr:colOff>
      <xdr:row>64</xdr:row>
      <xdr:rowOff>109741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0B92B9-AD57-C587-7630-0DABFB357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232833</xdr:colOff>
      <xdr:row>18</xdr:row>
      <xdr:rowOff>105833</xdr:rowOff>
    </xdr:from>
    <xdr:to>
      <xdr:col>29</xdr:col>
      <xdr:colOff>560575</xdr:colOff>
      <xdr:row>32</xdr:row>
      <xdr:rowOff>88743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28F70E-31F4-4F26-B992-AB7BCC0B8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206829</xdr:colOff>
      <xdr:row>18</xdr:row>
      <xdr:rowOff>44149</xdr:rowOff>
    </xdr:from>
    <xdr:to>
      <xdr:col>41</xdr:col>
      <xdr:colOff>542080</xdr:colOff>
      <xdr:row>32</xdr:row>
      <xdr:rowOff>22221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51DCA7-E056-4B95-A5B7-01C5C65CA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65</xdr:col>
      <xdr:colOff>365449</xdr:colOff>
      <xdr:row>12</xdr:row>
      <xdr:rowOff>94084</xdr:rowOff>
    </xdr:from>
    <xdr:to>
      <xdr:col>73</xdr:col>
      <xdr:colOff>85531</xdr:colOff>
      <xdr:row>27</xdr:row>
      <xdr:rowOff>45876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5C54573-1C2C-65AE-D6A5-EE3E2BE31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65</xdr:col>
      <xdr:colOff>552062</xdr:colOff>
      <xdr:row>27</xdr:row>
      <xdr:rowOff>62981</xdr:rowOff>
    </xdr:from>
    <xdr:to>
      <xdr:col>73</xdr:col>
      <xdr:colOff>272144</xdr:colOff>
      <xdr:row>40</xdr:row>
      <xdr:rowOff>162508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31DCB97-BDEF-B632-9716-28F3593EA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65</xdr:col>
      <xdr:colOff>600522</xdr:colOff>
      <xdr:row>45</xdr:row>
      <xdr:rowOff>33146</xdr:rowOff>
    </xdr:from>
    <xdr:to>
      <xdr:col>73</xdr:col>
      <xdr:colOff>320604</xdr:colOff>
      <xdr:row>60</xdr:row>
      <xdr:rowOff>93795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A64DA7A-C802-E0AA-489E-6D4EDDB92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56</xdr:col>
      <xdr:colOff>295470</xdr:colOff>
      <xdr:row>48</xdr:row>
      <xdr:rowOff>24106</xdr:rowOff>
    </xdr:from>
    <xdr:to>
      <xdr:col>64</xdr:col>
      <xdr:colOff>15552</xdr:colOff>
      <xdr:row>63</xdr:row>
      <xdr:rowOff>84755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076841E-056D-5A80-4E94-E3ED6BA11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56</xdr:col>
      <xdr:colOff>264367</xdr:colOff>
      <xdr:row>15</xdr:row>
      <xdr:rowOff>178836</xdr:rowOff>
    </xdr:from>
    <xdr:to>
      <xdr:col>62</xdr:col>
      <xdr:colOff>217715</xdr:colOff>
      <xdr:row>29</xdr:row>
      <xdr:rowOff>162508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D0DC638-239E-03CE-C996-27D662192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56</xdr:col>
      <xdr:colOff>124406</xdr:colOff>
      <xdr:row>30</xdr:row>
      <xdr:rowOff>778</xdr:rowOff>
    </xdr:from>
    <xdr:to>
      <xdr:col>62</xdr:col>
      <xdr:colOff>419877</xdr:colOff>
      <xdr:row>42</xdr:row>
      <xdr:rowOff>124408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CB49E50-B2D4-CCE4-046A-416862A39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45</xdr:col>
      <xdr:colOff>547853</xdr:colOff>
      <xdr:row>16</xdr:row>
      <xdr:rowOff>125185</xdr:rowOff>
    </xdr:from>
    <xdr:to>
      <xdr:col>53</xdr:col>
      <xdr:colOff>267935</xdr:colOff>
      <xdr:row>30</xdr:row>
      <xdr:rowOff>115855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1CB5F82-C975-AC06-579D-0604A6D8F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46</xdr:col>
      <xdr:colOff>23783</xdr:colOff>
      <xdr:row>30</xdr:row>
      <xdr:rowOff>178884</xdr:rowOff>
    </xdr:from>
    <xdr:to>
      <xdr:col>53</xdr:col>
      <xdr:colOff>353465</xdr:colOff>
      <xdr:row>45</xdr:row>
      <xdr:rowOff>60239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FAC77B0-4199-5D84-25A0-2869E7FB0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46</xdr:col>
      <xdr:colOff>46652</xdr:colOff>
      <xdr:row>46</xdr:row>
      <xdr:rowOff>47431</xdr:rowOff>
    </xdr:from>
    <xdr:to>
      <xdr:col>53</xdr:col>
      <xdr:colOff>373224</xdr:colOff>
      <xdr:row>61</xdr:row>
      <xdr:rowOff>108080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EAE475F-1D41-384C-D9F6-A3C12BFBD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68E4-142E-43AC-A635-4FB49ECFF48D}">
  <dimension ref="A4:BM58"/>
  <sheetViews>
    <sheetView tabSelected="1" zoomScale="69" zoomScaleNormal="69" workbookViewId="0">
      <selection activeCell="AC4" sqref="AC4"/>
    </sheetView>
  </sheetViews>
  <sheetFormatPr defaultRowHeight="13.8" x14ac:dyDescent="0.25"/>
  <cols>
    <col min="1" max="16384" width="8.88671875" style="1"/>
  </cols>
  <sheetData>
    <row r="4" spans="2:29" x14ac:dyDescent="0.25">
      <c r="B4" s="1" t="s">
        <v>0</v>
      </c>
      <c r="C4" s="1" t="s">
        <v>1</v>
      </c>
      <c r="Z4" s="1" t="s">
        <v>9</v>
      </c>
      <c r="AA4" s="1" t="s">
        <v>20</v>
      </c>
      <c r="AB4" s="1" t="s">
        <v>22</v>
      </c>
      <c r="AC4" s="1" t="s">
        <v>23</v>
      </c>
    </row>
    <row r="5" spans="2:29" x14ac:dyDescent="0.25">
      <c r="B5" s="1">
        <v>1</v>
      </c>
      <c r="C5" s="1">
        <v>5.0799999999999998E-2</v>
      </c>
      <c r="Z5" s="1">
        <v>5</v>
      </c>
      <c r="AA5" s="1">
        <v>62.142857142857153</v>
      </c>
      <c r="AB5" s="1">
        <v>55.785714285714278</v>
      </c>
      <c r="AC5" s="1">
        <v>53.571428571428577</v>
      </c>
    </row>
    <row r="6" spans="2:29" x14ac:dyDescent="0.25">
      <c r="B6" s="1">
        <v>2</v>
      </c>
      <c r="C6" s="1">
        <v>5.3699999999999998E-2</v>
      </c>
      <c r="Z6" s="1">
        <v>10</v>
      </c>
      <c r="AA6" s="1">
        <v>66.428571428571416</v>
      </c>
      <c r="AB6" s="1">
        <v>60.142857142857125</v>
      </c>
      <c r="AC6" s="1">
        <v>60.71428571428568</v>
      </c>
    </row>
    <row r="7" spans="2:29" x14ac:dyDescent="0.25">
      <c r="B7" s="1">
        <v>5</v>
      </c>
      <c r="C7" s="1">
        <v>6.2399999999999997E-2</v>
      </c>
      <c r="Z7" s="1">
        <v>30</v>
      </c>
      <c r="AA7" s="1">
        <v>68.571428571428555</v>
      </c>
      <c r="AB7" s="1">
        <v>65.285714285714263</v>
      </c>
      <c r="AC7" s="1">
        <v>62.142857142857153</v>
      </c>
    </row>
    <row r="8" spans="2:29" x14ac:dyDescent="0.25">
      <c r="B8" s="1">
        <v>10</v>
      </c>
      <c r="C8" s="1">
        <v>7.7640000000000001E-2</v>
      </c>
      <c r="Z8" s="1">
        <v>60</v>
      </c>
      <c r="AA8" s="1">
        <v>72.142857142857139</v>
      </c>
      <c r="AB8" s="1">
        <v>69.999999999999972</v>
      </c>
      <c r="AC8" s="1">
        <v>67.142857142857139</v>
      </c>
    </row>
    <row r="9" spans="2:29" x14ac:dyDescent="0.25">
      <c r="B9" s="1">
        <v>20</v>
      </c>
      <c r="C9" s="1">
        <v>0.10376000000000001</v>
      </c>
      <c r="Z9" s="1">
        <v>180</v>
      </c>
      <c r="AA9" s="1">
        <v>77.142857142857139</v>
      </c>
      <c r="AB9" s="1">
        <v>74.428571428571431</v>
      </c>
      <c r="AC9" s="1">
        <v>73.571428571428555</v>
      </c>
    </row>
    <row r="10" spans="2:29" x14ac:dyDescent="0.25">
      <c r="Z10" s="1">
        <v>1440</v>
      </c>
      <c r="AA10" s="1">
        <v>85.714285714285694</v>
      </c>
      <c r="AB10" s="1">
        <v>82.857142857142861</v>
      </c>
      <c r="AC10" s="1">
        <v>78.571428571428555</v>
      </c>
    </row>
    <row r="18" spans="1:65" x14ac:dyDescent="0.25">
      <c r="BL18" s="1" t="s">
        <v>15</v>
      </c>
      <c r="BM18" s="1" t="s">
        <v>21</v>
      </c>
    </row>
    <row r="19" spans="1:65" x14ac:dyDescent="0.25">
      <c r="AR19" s="1" t="s">
        <v>19</v>
      </c>
      <c r="AS19" s="1" t="s">
        <v>21</v>
      </c>
      <c r="BC19" s="1" t="s">
        <v>9</v>
      </c>
      <c r="BD19" s="1" t="s">
        <v>18</v>
      </c>
      <c r="BL19" s="1">
        <v>1.6094379124341003</v>
      </c>
      <c r="BM19" s="1">
        <v>3.1071428571428577</v>
      </c>
    </row>
    <row r="20" spans="1:65" ht="22.8" x14ac:dyDescent="0.4">
      <c r="A20" s="4" t="s">
        <v>10</v>
      </c>
      <c r="D20" s="1" t="s">
        <v>3</v>
      </c>
      <c r="AR20" s="1">
        <v>2.2360679774997898</v>
      </c>
      <c r="AS20" s="1">
        <v>3.1071428571428577</v>
      </c>
      <c r="BC20" s="1">
        <v>5</v>
      </c>
      <c r="BD20" s="1">
        <v>-1.2909841813155669</v>
      </c>
      <c r="BL20" s="1">
        <v>2.3025850929940459</v>
      </c>
      <c r="BM20" s="1">
        <v>3.3214285714285703</v>
      </c>
    </row>
    <row r="21" spans="1:65" x14ac:dyDescent="0.25">
      <c r="B21" s="1" t="s">
        <v>9</v>
      </c>
      <c r="C21" s="1" t="s">
        <v>10</v>
      </c>
      <c r="D21" s="1" t="s">
        <v>2</v>
      </c>
      <c r="E21" s="1" t="s">
        <v>4</v>
      </c>
      <c r="F21" s="1" t="s">
        <v>5</v>
      </c>
      <c r="G21" s="1" t="s">
        <v>6</v>
      </c>
      <c r="H21" s="1" t="s">
        <v>21</v>
      </c>
      <c r="I21" s="1" t="s">
        <v>11</v>
      </c>
      <c r="J21" s="1" t="s">
        <v>12</v>
      </c>
      <c r="K21" s="1" t="s">
        <v>13</v>
      </c>
      <c r="L21" s="1" t="s">
        <v>14</v>
      </c>
      <c r="M21" s="1" t="s">
        <v>19</v>
      </c>
      <c r="N21" s="1" t="s">
        <v>15</v>
      </c>
      <c r="O21" s="1" t="s">
        <v>16</v>
      </c>
      <c r="P21" s="1" t="s">
        <v>17</v>
      </c>
      <c r="Q21" s="1" t="s">
        <v>18</v>
      </c>
      <c r="AR21" s="1">
        <v>3.1622776601683795</v>
      </c>
      <c r="AS21" s="1">
        <v>3.3214285714285703</v>
      </c>
      <c r="BC21" s="1">
        <v>10</v>
      </c>
      <c r="BD21" s="1">
        <v>-1.4916548767777165</v>
      </c>
      <c r="BL21" s="1">
        <v>3.4011973816621555</v>
      </c>
      <c r="BM21" s="1">
        <v>3.4285714285714279</v>
      </c>
    </row>
    <row r="22" spans="1:65" x14ac:dyDescent="0.25">
      <c r="B22" s="1">
        <v>5</v>
      </c>
      <c r="C22" s="1">
        <v>5.3699999999999998E-2</v>
      </c>
      <c r="D22" s="1">
        <v>5</v>
      </c>
      <c r="E22" s="1">
        <f>(C22-0.0484)/0.0028</f>
        <v>1.8928571428571426</v>
      </c>
      <c r="F22" s="1">
        <f>D22-E22</f>
        <v>3.1071428571428577</v>
      </c>
      <c r="G22" s="1">
        <f>(F22*100)/D22</f>
        <v>62.142857142857153</v>
      </c>
      <c r="H22" s="1">
        <f>(D22-E22)*0.01/0.01</f>
        <v>3.1071428571428577</v>
      </c>
      <c r="I22" s="1">
        <v>4.2857142857142847</v>
      </c>
      <c r="J22" s="1">
        <v>4.4487912087912092</v>
      </c>
      <c r="K22" s="1">
        <f>LOG(J22)</f>
        <v>0.64824202386500485</v>
      </c>
      <c r="L22" s="1">
        <f>B22/H22</f>
        <v>1.6091954022988504</v>
      </c>
      <c r="M22" s="1">
        <f>SQRT(B22)</f>
        <v>2.2360679774997898</v>
      </c>
      <c r="N22" s="1">
        <f>LN(B22)</f>
        <v>1.6094379124341003</v>
      </c>
      <c r="O22" s="1">
        <f>H22/I22</f>
        <v>0.72500000000000031</v>
      </c>
      <c r="P22" s="1">
        <f>1-O22</f>
        <v>0.27499999999999969</v>
      </c>
      <c r="Q22" s="1">
        <f>LN(P22)</f>
        <v>-1.2909841813155669</v>
      </c>
      <c r="T22" s="1" t="s">
        <v>9</v>
      </c>
      <c r="U22" s="1" t="s">
        <v>13</v>
      </c>
      <c r="AF22" s="1" t="s">
        <v>9</v>
      </c>
      <c r="AG22" s="1" t="s">
        <v>14</v>
      </c>
      <c r="AR22" s="1">
        <v>5.4772255750516612</v>
      </c>
      <c r="AS22" s="1">
        <v>3.4285714285714279</v>
      </c>
      <c r="BC22" s="1">
        <v>30</v>
      </c>
      <c r="BD22" s="1">
        <v>-1.6094379124341005</v>
      </c>
      <c r="BL22" s="1">
        <v>4.0943445622221004</v>
      </c>
      <c r="BM22" s="1">
        <v>3.6071428571428568</v>
      </c>
    </row>
    <row r="23" spans="1:65" x14ac:dyDescent="0.25">
      <c r="B23" s="1">
        <v>10</v>
      </c>
      <c r="C23" s="1">
        <v>5.3100000000000001E-2</v>
      </c>
      <c r="D23" s="1">
        <v>5</v>
      </c>
      <c r="E23" s="1">
        <f t="shared" ref="E23:E27" si="0">(C23-0.0484)/0.0028</f>
        <v>1.6785714285714295</v>
      </c>
      <c r="F23" s="1">
        <f t="shared" ref="F23:F37" si="1">D23-E23</f>
        <v>3.3214285714285703</v>
      </c>
      <c r="G23" s="1">
        <f t="shared" ref="G23:G27" si="2">(F23*100)/D23</f>
        <v>66.428571428571416</v>
      </c>
      <c r="H23" s="1">
        <f t="shared" ref="H23:H47" si="3">(D23-E23)*0.01/0.01</f>
        <v>3.3214285714285703</v>
      </c>
      <c r="I23" s="1">
        <v>4.2857142857142847</v>
      </c>
      <c r="J23" s="1">
        <f t="shared" ref="J23:J47" si="4">I23-H23</f>
        <v>0.96428571428571441</v>
      </c>
      <c r="K23" s="1">
        <f t="shared" ref="K23:K47" si="5">LOG(J23)</f>
        <v>-1.5794267183231851E-2</v>
      </c>
      <c r="L23" s="1">
        <f t="shared" ref="L23:L27" si="6">B23/H23</f>
        <v>3.0107526881720439</v>
      </c>
      <c r="M23" s="1">
        <f t="shared" ref="M23:M47" si="7">SQRT(B23)</f>
        <v>3.1622776601683795</v>
      </c>
      <c r="N23" s="1">
        <f t="shared" ref="N23:N47" si="8">LN(B23)</f>
        <v>2.3025850929940459</v>
      </c>
      <c r="O23" s="1">
        <f t="shared" ref="O23:O47" si="9">H23/I23</f>
        <v>0.77499999999999991</v>
      </c>
      <c r="P23" s="1">
        <f t="shared" ref="P23:P47" si="10">1-O23</f>
        <v>0.22500000000000009</v>
      </c>
      <c r="Q23" s="1">
        <f t="shared" ref="Q23:Q47" si="11">LN(P23)</f>
        <v>-1.4916548767777165</v>
      </c>
      <c r="T23" s="1">
        <v>5</v>
      </c>
      <c r="U23" s="1">
        <v>0.64824202386500485</v>
      </c>
      <c r="AF23" s="1">
        <v>5</v>
      </c>
      <c r="AG23" s="1">
        <v>1.6091954022988504</v>
      </c>
      <c r="AR23" s="1">
        <v>7.745966692414834</v>
      </c>
      <c r="AS23" s="1">
        <v>3.6071428571428568</v>
      </c>
      <c r="BC23" s="1">
        <v>60</v>
      </c>
      <c r="BD23" s="1">
        <v>-1.8430527636156062</v>
      </c>
      <c r="BL23" s="1">
        <v>5.1929568508902104</v>
      </c>
      <c r="BM23" s="1">
        <v>3.8571428571428568</v>
      </c>
    </row>
    <row r="24" spans="1:65" x14ac:dyDescent="0.25">
      <c r="B24" s="1">
        <v>30</v>
      </c>
      <c r="C24" s="1">
        <v>5.28E-2</v>
      </c>
      <c r="D24" s="1">
        <v>5</v>
      </c>
      <c r="E24" s="1">
        <f t="shared" si="0"/>
        <v>1.5714285714285718</v>
      </c>
      <c r="F24" s="1">
        <f t="shared" si="1"/>
        <v>3.4285714285714279</v>
      </c>
      <c r="G24" s="1">
        <f t="shared" si="2"/>
        <v>68.571428571428555</v>
      </c>
      <c r="H24" s="1">
        <f t="shared" si="3"/>
        <v>3.4285714285714279</v>
      </c>
      <c r="I24" s="1">
        <v>4.2857142857142847</v>
      </c>
      <c r="J24" s="1">
        <f t="shared" si="4"/>
        <v>0.85714285714285676</v>
      </c>
      <c r="K24" s="1">
        <f t="shared" si="5"/>
        <v>-6.6946789630613388E-2</v>
      </c>
      <c r="L24" s="1">
        <f t="shared" si="6"/>
        <v>8.7500000000000018</v>
      </c>
      <c r="M24" s="1">
        <f t="shared" si="7"/>
        <v>5.4772255750516612</v>
      </c>
      <c r="N24" s="1">
        <f t="shared" si="8"/>
        <v>3.4011973816621555</v>
      </c>
      <c r="O24" s="1">
        <f t="shared" si="9"/>
        <v>0.8</v>
      </c>
      <c r="P24" s="1">
        <f t="shared" si="10"/>
        <v>0.19999999999999996</v>
      </c>
      <c r="Q24" s="1">
        <f t="shared" si="11"/>
        <v>-1.6094379124341005</v>
      </c>
      <c r="T24" s="1">
        <v>10</v>
      </c>
      <c r="U24" s="1">
        <v>-1.5794267183231851E-2</v>
      </c>
      <c r="AF24" s="1">
        <v>10</v>
      </c>
      <c r="AG24" s="1">
        <v>3.0107526881720439</v>
      </c>
      <c r="AR24" s="1">
        <v>13.416407864998739</v>
      </c>
      <c r="AS24" s="1">
        <v>3.8571428571428568</v>
      </c>
      <c r="BC24" s="1">
        <v>180</v>
      </c>
      <c r="BD24" s="1">
        <v>-2.3025850929940472</v>
      </c>
      <c r="BL24" s="1">
        <v>7.2723983925700466</v>
      </c>
      <c r="BM24" s="1">
        <v>4.2857142857142847</v>
      </c>
    </row>
    <row r="25" spans="1:65" x14ac:dyDescent="0.25">
      <c r="B25" s="1">
        <v>60</v>
      </c>
      <c r="C25" s="1">
        <v>5.2299999999999999E-2</v>
      </c>
      <c r="D25" s="1">
        <v>5</v>
      </c>
      <c r="E25" s="1">
        <f t="shared" si="0"/>
        <v>1.392857142857143</v>
      </c>
      <c r="F25" s="1">
        <f t="shared" si="1"/>
        <v>3.6071428571428568</v>
      </c>
      <c r="G25" s="1">
        <f t="shared" si="2"/>
        <v>72.142857142857139</v>
      </c>
      <c r="H25" s="1">
        <f t="shared" si="3"/>
        <v>3.6071428571428568</v>
      </c>
      <c r="I25" s="1">
        <v>4.2857142857142847</v>
      </c>
      <c r="J25" s="1">
        <f t="shared" si="4"/>
        <v>0.67857142857142794</v>
      </c>
      <c r="K25" s="1">
        <f t="shared" si="5"/>
        <v>-0.16840443038939065</v>
      </c>
      <c r="L25" s="1">
        <f t="shared" si="6"/>
        <v>16.633663366336634</v>
      </c>
      <c r="M25" s="1">
        <f t="shared" si="7"/>
        <v>7.745966692414834</v>
      </c>
      <c r="N25" s="1">
        <f t="shared" si="8"/>
        <v>4.0943445622221004</v>
      </c>
      <c r="O25" s="1">
        <f t="shared" si="9"/>
        <v>0.84166666666666679</v>
      </c>
      <c r="P25" s="1">
        <f t="shared" si="10"/>
        <v>0.15833333333333321</v>
      </c>
      <c r="Q25" s="1">
        <f t="shared" si="11"/>
        <v>-1.8430527636156062</v>
      </c>
      <c r="T25" s="1">
        <v>30</v>
      </c>
      <c r="U25" s="1">
        <v>-6.6946789630613388E-2</v>
      </c>
      <c r="AF25" s="1">
        <v>30</v>
      </c>
      <c r="AG25" s="1">
        <v>8.7500000000000018</v>
      </c>
      <c r="AR25" s="1">
        <v>37.947331922020552</v>
      </c>
      <c r="AS25" s="1">
        <v>4.2857142857142847</v>
      </c>
    </row>
    <row r="26" spans="1:65" x14ac:dyDescent="0.25">
      <c r="B26" s="1">
        <v>180</v>
      </c>
      <c r="C26" s="1">
        <v>5.16E-2</v>
      </c>
      <c r="D26" s="1">
        <v>5</v>
      </c>
      <c r="E26" s="1">
        <f t="shared" si="0"/>
        <v>1.1428571428571435</v>
      </c>
      <c r="F26" s="1">
        <f t="shared" si="1"/>
        <v>3.8571428571428568</v>
      </c>
      <c r="G26" s="1">
        <f t="shared" si="2"/>
        <v>77.142857142857139</v>
      </c>
      <c r="H26" s="1">
        <f t="shared" si="3"/>
        <v>3.8571428571428568</v>
      </c>
      <c r="I26" s="1">
        <v>4.2857142857142847</v>
      </c>
      <c r="J26" s="1">
        <f t="shared" si="4"/>
        <v>0.42857142857142794</v>
      </c>
      <c r="K26" s="1">
        <f t="shared" si="5"/>
        <v>-0.36797678529459504</v>
      </c>
      <c r="L26" s="1">
        <f t="shared" si="6"/>
        <v>46.666666666666671</v>
      </c>
      <c r="M26" s="1">
        <f t="shared" si="7"/>
        <v>13.416407864998739</v>
      </c>
      <c r="N26" s="1">
        <f t="shared" si="8"/>
        <v>5.1929568508902104</v>
      </c>
      <c r="O26" s="1">
        <f t="shared" si="9"/>
        <v>0.90000000000000013</v>
      </c>
      <c r="P26" s="1">
        <f t="shared" si="10"/>
        <v>9.9999999999999867E-2</v>
      </c>
      <c r="Q26" s="1">
        <f t="shared" si="11"/>
        <v>-2.3025850929940472</v>
      </c>
      <c r="T26" s="1">
        <v>60</v>
      </c>
      <c r="U26" s="1">
        <v>-0.16840443038939065</v>
      </c>
      <c r="AF26" s="1">
        <v>60</v>
      </c>
      <c r="AG26" s="1">
        <v>16.633663366336634</v>
      </c>
    </row>
    <row r="27" spans="1:65" x14ac:dyDescent="0.25">
      <c r="B27" s="1">
        <v>1440</v>
      </c>
      <c r="C27" s="1">
        <v>5.04E-2</v>
      </c>
      <c r="D27" s="1">
        <v>5</v>
      </c>
      <c r="E27" s="1">
        <f t="shared" si="0"/>
        <v>0.71428571428571497</v>
      </c>
      <c r="F27" s="1">
        <f t="shared" si="1"/>
        <v>4.2857142857142847</v>
      </c>
      <c r="G27" s="1">
        <f t="shared" si="2"/>
        <v>85.714285714285694</v>
      </c>
      <c r="H27" s="1">
        <f t="shared" si="3"/>
        <v>4.2857142857142847</v>
      </c>
      <c r="I27" s="1">
        <v>4.2857142857142847</v>
      </c>
      <c r="J27" s="1">
        <f t="shared" si="4"/>
        <v>0</v>
      </c>
      <c r="K27" s="1" t="e">
        <f t="shared" si="5"/>
        <v>#NUM!</v>
      </c>
      <c r="L27" s="1">
        <f t="shared" si="6"/>
        <v>336.00000000000006</v>
      </c>
      <c r="M27" s="1">
        <f t="shared" si="7"/>
        <v>37.947331922020552</v>
      </c>
      <c r="N27" s="1">
        <f t="shared" si="8"/>
        <v>7.2723983925700466</v>
      </c>
      <c r="O27" s="1">
        <f t="shared" si="9"/>
        <v>1</v>
      </c>
      <c r="P27" s="1">
        <f t="shared" si="10"/>
        <v>0</v>
      </c>
      <c r="Q27" s="1" t="e">
        <f t="shared" si="11"/>
        <v>#NUM!</v>
      </c>
      <c r="T27" s="1">
        <v>180</v>
      </c>
      <c r="U27" s="1">
        <v>-0.36797678529459504</v>
      </c>
      <c r="AF27" s="1">
        <v>180</v>
      </c>
      <c r="AG27" s="1">
        <v>46.666666666666671</v>
      </c>
    </row>
    <row r="28" spans="1:65" x14ac:dyDescent="0.25">
      <c r="AF28" s="1">
        <v>1440</v>
      </c>
      <c r="AG28" s="1">
        <v>336.00000000000006</v>
      </c>
      <c r="BL28" s="1" t="s">
        <v>15</v>
      </c>
      <c r="BM28" s="1" t="s">
        <v>21</v>
      </c>
    </row>
    <row r="29" spans="1:65" x14ac:dyDescent="0.25">
      <c r="AR29" s="1" t="s">
        <v>19</v>
      </c>
      <c r="AS29" s="1" t="s">
        <v>21</v>
      </c>
      <c r="BC29" s="1" t="s">
        <v>9</v>
      </c>
      <c r="BD29" s="1" t="s">
        <v>18</v>
      </c>
      <c r="BL29" s="1">
        <v>1.6094379124341003</v>
      </c>
      <c r="BM29" s="1">
        <v>2.7892857142857137</v>
      </c>
    </row>
    <row r="30" spans="1:65" ht="25.2" x14ac:dyDescent="0.45">
      <c r="A30" s="2" t="s">
        <v>7</v>
      </c>
      <c r="AR30" s="1">
        <v>2.2360679774997898</v>
      </c>
      <c r="AS30" s="1">
        <v>2.7892857142857137</v>
      </c>
      <c r="BC30" s="1">
        <v>5</v>
      </c>
      <c r="BD30" s="1">
        <v>-1.1186390790179832</v>
      </c>
      <c r="BL30" s="1">
        <v>2.3025850929940459</v>
      </c>
      <c r="BM30" s="1">
        <v>3.0071428571428562</v>
      </c>
    </row>
    <row r="31" spans="1:65" x14ac:dyDescent="0.25">
      <c r="B31" s="1" t="s">
        <v>9</v>
      </c>
      <c r="C31" s="1" t="s">
        <v>7</v>
      </c>
      <c r="D31" s="1" t="s">
        <v>2</v>
      </c>
      <c r="F31" s="1" t="s">
        <v>5</v>
      </c>
      <c r="G31" s="1" t="s">
        <v>6</v>
      </c>
      <c r="H31" s="1" t="s">
        <v>21</v>
      </c>
      <c r="I31" s="1" t="s">
        <v>11</v>
      </c>
      <c r="J31" s="1" t="s">
        <v>12</v>
      </c>
      <c r="K31" s="1" t="s">
        <v>13</v>
      </c>
      <c r="L31" s="1" t="s">
        <v>14</v>
      </c>
      <c r="M31" s="1" t="s">
        <v>19</v>
      </c>
      <c r="N31" s="1" t="s">
        <v>15</v>
      </c>
      <c r="O31" s="1" t="s">
        <v>16</v>
      </c>
      <c r="P31" s="1" t="s">
        <v>17</v>
      </c>
      <c r="Q31" s="1" t="s">
        <v>18</v>
      </c>
      <c r="T31" s="1" t="s">
        <v>9</v>
      </c>
      <c r="U31" s="1" t="s">
        <v>13</v>
      </c>
      <c r="AR31" s="1">
        <v>3.1622776601683795</v>
      </c>
      <c r="AS31" s="1">
        <v>3.0071428571428562</v>
      </c>
      <c r="BC31" s="1">
        <v>10</v>
      </c>
      <c r="BD31" s="1">
        <v>-1.2941239013202326</v>
      </c>
      <c r="BL31" s="1">
        <v>3.4011973816621555</v>
      </c>
      <c r="BM31" s="1">
        <v>3.2642857142857133</v>
      </c>
    </row>
    <row r="32" spans="1:65" x14ac:dyDescent="0.25">
      <c r="B32" s="1">
        <v>5</v>
      </c>
      <c r="C32" s="1">
        <v>5.459E-2</v>
      </c>
      <c r="D32" s="1">
        <v>5</v>
      </c>
      <c r="E32" s="1">
        <f>(C32-0.0484)/0.0028</f>
        <v>2.2107142857142863</v>
      </c>
      <c r="F32" s="1">
        <f t="shared" si="1"/>
        <v>2.7892857142857137</v>
      </c>
      <c r="G32" s="1">
        <f t="shared" ref="G32:G37" si="12">(F32*100)/D32</f>
        <v>55.785714285714278</v>
      </c>
      <c r="H32" s="1">
        <f t="shared" si="3"/>
        <v>2.7892857142857137</v>
      </c>
      <c r="I32" s="1">
        <v>4.1428571428571432</v>
      </c>
      <c r="J32" s="1">
        <f t="shared" si="4"/>
        <v>1.3535714285714295</v>
      </c>
      <c r="K32" s="1">
        <f t="shared" si="5"/>
        <v>0.13148117862585343</v>
      </c>
      <c r="L32" s="1">
        <f t="shared" ref="L32:L47" si="13">B32/H32</f>
        <v>1.7925736235595395</v>
      </c>
      <c r="M32" s="1">
        <f t="shared" si="7"/>
        <v>2.2360679774997898</v>
      </c>
      <c r="N32" s="1">
        <f t="shared" si="8"/>
        <v>1.6094379124341003</v>
      </c>
      <c r="O32" s="1">
        <f t="shared" si="9"/>
        <v>0.67327586206896528</v>
      </c>
      <c r="P32" s="1">
        <f t="shared" si="10"/>
        <v>0.32672413793103472</v>
      </c>
      <c r="Q32" s="1">
        <f t="shared" si="11"/>
        <v>-1.1186390790179832</v>
      </c>
      <c r="T32" s="1">
        <v>5</v>
      </c>
      <c r="U32" s="1">
        <v>0.13148117862585343</v>
      </c>
      <c r="AR32" s="1">
        <v>5.4772255750516612</v>
      </c>
      <c r="AS32" s="1">
        <v>3.2642857142857133</v>
      </c>
      <c r="BC32" s="1">
        <v>30</v>
      </c>
      <c r="BD32" s="1">
        <v>-1.5508437481680464</v>
      </c>
      <c r="BL32" s="1">
        <v>4.0943445622221004</v>
      </c>
      <c r="BM32" s="1">
        <v>3.4999999999999991</v>
      </c>
    </row>
    <row r="33" spans="1:65" x14ac:dyDescent="0.25">
      <c r="B33" s="1">
        <v>10</v>
      </c>
      <c r="C33" s="1">
        <v>5.398E-2</v>
      </c>
      <c r="D33" s="1">
        <v>5</v>
      </c>
      <c r="E33" s="1">
        <f t="shared" ref="E33:E47" si="14">(C33-0.0484)/0.0028</f>
        <v>1.9928571428571435</v>
      </c>
      <c r="F33" s="1">
        <f t="shared" si="1"/>
        <v>3.0071428571428562</v>
      </c>
      <c r="G33" s="1">
        <f t="shared" si="12"/>
        <v>60.142857142857125</v>
      </c>
      <c r="H33" s="1">
        <f t="shared" si="3"/>
        <v>3.0071428571428562</v>
      </c>
      <c r="I33" s="1">
        <v>4.1428571428571432</v>
      </c>
      <c r="J33" s="1">
        <f t="shared" si="4"/>
        <v>1.135714285714287</v>
      </c>
      <c r="K33" s="1">
        <f t="shared" si="5"/>
        <v>5.526908864221395E-2</v>
      </c>
      <c r="L33" s="1">
        <f t="shared" si="13"/>
        <v>3.3254156769596208</v>
      </c>
      <c r="M33" s="1">
        <f t="shared" si="7"/>
        <v>3.1622776601683795</v>
      </c>
      <c r="N33" s="1">
        <f t="shared" si="8"/>
        <v>2.3025850929940459</v>
      </c>
      <c r="O33" s="1">
        <f t="shared" si="9"/>
        <v>0.72586206896551697</v>
      </c>
      <c r="P33" s="1">
        <f t="shared" si="10"/>
        <v>0.27413793103448303</v>
      </c>
      <c r="Q33" s="1">
        <f t="shared" si="11"/>
        <v>-1.2941239013202326</v>
      </c>
      <c r="T33" s="1">
        <v>10</v>
      </c>
      <c r="U33" s="1">
        <v>5.526908864221395E-2</v>
      </c>
      <c r="AR33" s="1">
        <v>7.745966692414834</v>
      </c>
      <c r="AS33" s="1">
        <v>3.4999999999999991</v>
      </c>
      <c r="BC33" s="1">
        <v>60</v>
      </c>
      <c r="BD33" s="1">
        <v>-1.863218433210198</v>
      </c>
      <c r="BL33" s="1">
        <v>5.1929568508902104</v>
      </c>
      <c r="BM33" s="1">
        <v>3.7214285714285715</v>
      </c>
    </row>
    <row r="34" spans="1:65" x14ac:dyDescent="0.25">
      <c r="B34" s="1">
        <v>30</v>
      </c>
      <c r="C34" s="1">
        <v>5.3260000000000002E-2</v>
      </c>
      <c r="D34" s="1">
        <v>5</v>
      </c>
      <c r="E34" s="1">
        <f t="shared" si="14"/>
        <v>1.7357142857142869</v>
      </c>
      <c r="F34" s="1">
        <f t="shared" si="1"/>
        <v>3.2642857142857133</v>
      </c>
      <c r="G34" s="1">
        <f t="shared" si="12"/>
        <v>65.285714285714263</v>
      </c>
      <c r="H34" s="1">
        <f t="shared" si="3"/>
        <v>3.2642857142857133</v>
      </c>
      <c r="I34" s="1">
        <v>4.1428571428571432</v>
      </c>
      <c r="J34" s="1">
        <f t="shared" si="4"/>
        <v>0.87857142857142989</v>
      </c>
      <c r="K34" s="1">
        <f t="shared" si="5"/>
        <v>-5.6222924238839442E-2</v>
      </c>
      <c r="L34" s="1">
        <f t="shared" si="13"/>
        <v>9.1903719912472681</v>
      </c>
      <c r="M34" s="1">
        <f t="shared" si="7"/>
        <v>5.4772255750516612</v>
      </c>
      <c r="N34" s="1">
        <f t="shared" si="8"/>
        <v>3.4011973816621555</v>
      </c>
      <c r="O34" s="1">
        <f t="shared" si="9"/>
        <v>0.78793103448275836</v>
      </c>
      <c r="P34" s="1">
        <f t="shared" si="10"/>
        <v>0.21206896551724164</v>
      </c>
      <c r="Q34" s="1">
        <f t="shared" si="11"/>
        <v>-1.5508437481680464</v>
      </c>
      <c r="T34" s="1">
        <v>30</v>
      </c>
      <c r="U34" s="1">
        <v>-5.6222924238839442E-2</v>
      </c>
      <c r="AR34" s="1">
        <v>13.416407864998739</v>
      </c>
      <c r="AS34" s="1">
        <v>3.7214285714285715</v>
      </c>
      <c r="BC34" s="1">
        <v>180</v>
      </c>
      <c r="BD34" s="1">
        <v>-2.2854906596347453</v>
      </c>
      <c r="BL34" s="1">
        <v>7.2723983925700466</v>
      </c>
      <c r="BM34" s="1">
        <v>4.1428571428571432</v>
      </c>
    </row>
    <row r="35" spans="1:65" x14ac:dyDescent="0.25">
      <c r="B35" s="1">
        <v>60</v>
      </c>
      <c r="C35" s="1">
        <v>5.2600000000000001E-2</v>
      </c>
      <c r="D35" s="1">
        <v>5</v>
      </c>
      <c r="E35" s="1">
        <f t="shared" si="14"/>
        <v>1.5000000000000009</v>
      </c>
      <c r="F35" s="1">
        <f t="shared" si="1"/>
        <v>3.4999999999999991</v>
      </c>
      <c r="G35" s="1">
        <f t="shared" si="12"/>
        <v>69.999999999999972</v>
      </c>
      <c r="H35" s="1">
        <f t="shared" si="3"/>
        <v>3.4999999999999987</v>
      </c>
      <c r="I35" s="1">
        <v>4.1428571428571432</v>
      </c>
      <c r="J35" s="1">
        <f t="shared" si="4"/>
        <v>0.64285714285714457</v>
      </c>
      <c r="K35" s="1">
        <f t="shared" si="5"/>
        <v>-0.191885526238912</v>
      </c>
      <c r="L35" s="1">
        <f t="shared" si="13"/>
        <v>17.142857142857149</v>
      </c>
      <c r="M35" s="1">
        <f t="shared" si="7"/>
        <v>7.745966692414834</v>
      </c>
      <c r="N35" s="1">
        <f t="shared" si="8"/>
        <v>4.0943445622221004</v>
      </c>
      <c r="O35" s="1">
        <f t="shared" si="9"/>
        <v>0.84482758620689613</v>
      </c>
      <c r="P35" s="1">
        <f t="shared" si="10"/>
        <v>0.15517241379310387</v>
      </c>
      <c r="Q35" s="1">
        <f t="shared" si="11"/>
        <v>-1.8632184332101973</v>
      </c>
      <c r="T35" s="1">
        <v>60</v>
      </c>
      <c r="U35" s="1">
        <v>-0.19188552623891231</v>
      </c>
      <c r="AR35" s="1">
        <v>37.947331922020552</v>
      </c>
      <c r="AS35" s="1">
        <v>4.1428571428571432</v>
      </c>
    </row>
    <row r="36" spans="1:65" x14ac:dyDescent="0.25">
      <c r="B36" s="1">
        <v>180</v>
      </c>
      <c r="C36" s="1">
        <v>5.1979999999999998E-2</v>
      </c>
      <c r="D36" s="1">
        <v>5</v>
      </c>
      <c r="E36" s="1">
        <f t="shared" si="14"/>
        <v>1.2785714285714285</v>
      </c>
      <c r="F36" s="1">
        <f t="shared" si="1"/>
        <v>3.7214285714285715</v>
      </c>
      <c r="G36" s="1">
        <f t="shared" si="12"/>
        <v>74.428571428571431</v>
      </c>
      <c r="H36" s="1">
        <f t="shared" si="3"/>
        <v>3.7214285714285711</v>
      </c>
      <c r="I36" s="1">
        <v>4.1428571428571432</v>
      </c>
      <c r="J36" s="1">
        <f t="shared" si="4"/>
        <v>0.42142857142857215</v>
      </c>
      <c r="K36" s="1">
        <f t="shared" si="5"/>
        <v>-0.37527602403609311</v>
      </c>
      <c r="L36" s="1">
        <f t="shared" si="13"/>
        <v>48.368522072936663</v>
      </c>
      <c r="M36" s="1">
        <f t="shared" si="7"/>
        <v>13.416407864998739</v>
      </c>
      <c r="N36" s="1">
        <f t="shared" si="8"/>
        <v>5.1929568508902104</v>
      </c>
      <c r="O36" s="1">
        <f t="shared" si="9"/>
        <v>0.89827586206896537</v>
      </c>
      <c r="P36" s="1">
        <f t="shared" si="10"/>
        <v>0.10172413793103463</v>
      </c>
      <c r="Q36" s="1">
        <f t="shared" si="11"/>
        <v>-2.285490659634744</v>
      </c>
      <c r="T36" s="1">
        <v>180</v>
      </c>
      <c r="U36" s="1">
        <v>-0.37527602403609356</v>
      </c>
      <c r="AF36" s="1" t="s">
        <v>9</v>
      </c>
      <c r="AG36" s="1" t="s">
        <v>14</v>
      </c>
    </row>
    <row r="37" spans="1:65" x14ac:dyDescent="0.25">
      <c r="B37" s="1">
        <v>1440</v>
      </c>
      <c r="C37" s="1">
        <v>5.0799999999999998E-2</v>
      </c>
      <c r="D37" s="1">
        <v>5</v>
      </c>
      <c r="E37" s="1">
        <f t="shared" si="14"/>
        <v>0.85714285714285687</v>
      </c>
      <c r="F37" s="1">
        <f t="shared" si="1"/>
        <v>4.1428571428571432</v>
      </c>
      <c r="G37" s="1">
        <f t="shared" si="12"/>
        <v>82.857142857142861</v>
      </c>
      <c r="H37" s="1">
        <f t="shared" si="3"/>
        <v>4.1428571428571432</v>
      </c>
      <c r="I37" s="1">
        <v>4.1428571428571432</v>
      </c>
      <c r="J37" s="1">
        <f t="shared" si="4"/>
        <v>0</v>
      </c>
      <c r="K37" s="1" t="e">
        <f t="shared" si="5"/>
        <v>#NUM!</v>
      </c>
      <c r="L37" s="1">
        <f t="shared" si="13"/>
        <v>347.58620689655169</v>
      </c>
      <c r="M37" s="1">
        <f t="shared" si="7"/>
        <v>37.947331922020552</v>
      </c>
      <c r="N37" s="1">
        <f t="shared" si="8"/>
        <v>7.2723983925700466</v>
      </c>
      <c r="O37" s="1">
        <f t="shared" si="9"/>
        <v>1</v>
      </c>
      <c r="P37" s="1">
        <f t="shared" si="10"/>
        <v>0</v>
      </c>
      <c r="Q37" s="1" t="e">
        <f t="shared" si="11"/>
        <v>#NUM!</v>
      </c>
      <c r="AF37" s="1">
        <v>5</v>
      </c>
      <c r="AG37" s="1">
        <v>1.7925736235595395</v>
      </c>
    </row>
    <row r="38" spans="1:65" x14ac:dyDescent="0.25">
      <c r="AF38" s="1">
        <v>10</v>
      </c>
      <c r="AG38" s="1">
        <v>3.3254156769596208</v>
      </c>
      <c r="BL38" s="1" t="s">
        <v>15</v>
      </c>
      <c r="BM38" s="1" t="s">
        <v>21</v>
      </c>
    </row>
    <row r="39" spans="1:65" x14ac:dyDescent="0.25">
      <c r="AF39" s="1">
        <v>30</v>
      </c>
      <c r="AG39" s="1">
        <v>9.1903719912472681</v>
      </c>
      <c r="AR39" s="1" t="s">
        <v>19</v>
      </c>
      <c r="AS39" s="1" t="s">
        <v>21</v>
      </c>
      <c r="BL39" s="1">
        <v>1.6094379124341003</v>
      </c>
      <c r="BM39" s="1">
        <v>2.6785714285714288</v>
      </c>
    </row>
    <row r="40" spans="1:65" ht="28.2" x14ac:dyDescent="0.5">
      <c r="A40" s="3" t="s">
        <v>8</v>
      </c>
      <c r="AF40" s="1">
        <v>60</v>
      </c>
      <c r="AG40" s="1">
        <v>17.142857142857146</v>
      </c>
      <c r="AR40" s="1">
        <v>2.2360679774997898</v>
      </c>
      <c r="AS40" s="1">
        <v>2.6785714285714288</v>
      </c>
      <c r="BL40" s="1">
        <v>2.3025850929940459</v>
      </c>
      <c r="BM40" s="1">
        <v>3.0357142857142838</v>
      </c>
    </row>
    <row r="41" spans="1:65" x14ac:dyDescent="0.25">
      <c r="B41" s="1" t="s">
        <v>9</v>
      </c>
      <c r="C41" s="1" t="s">
        <v>8</v>
      </c>
      <c r="D41" s="1" t="s">
        <v>2</v>
      </c>
      <c r="F41" s="1" t="s">
        <v>5</v>
      </c>
      <c r="G41" s="1" t="s">
        <v>6</v>
      </c>
      <c r="H41" s="1" t="s">
        <v>21</v>
      </c>
      <c r="I41" s="1" t="s">
        <v>11</v>
      </c>
      <c r="J41" s="1" t="s">
        <v>12</v>
      </c>
      <c r="K41" s="1" t="s">
        <v>13</v>
      </c>
      <c r="L41" s="1" t="s">
        <v>14</v>
      </c>
      <c r="M41" s="1" t="s">
        <v>19</v>
      </c>
      <c r="N41" s="1" t="s">
        <v>15</v>
      </c>
      <c r="O41" s="1" t="s">
        <v>16</v>
      </c>
      <c r="P41" s="1" t="s">
        <v>17</v>
      </c>
      <c r="Q41" s="1" t="s">
        <v>18</v>
      </c>
      <c r="AF41" s="1">
        <v>180</v>
      </c>
      <c r="AG41" s="1">
        <v>48.368522072936656</v>
      </c>
      <c r="AR41" s="1">
        <v>3.1622776601683795</v>
      </c>
      <c r="AS41" s="1">
        <v>3.0357142857142838</v>
      </c>
      <c r="BL41" s="1">
        <v>3.4011973816621555</v>
      </c>
      <c r="BM41" s="1">
        <v>3.1071428571428577</v>
      </c>
    </row>
    <row r="42" spans="1:65" x14ac:dyDescent="0.25">
      <c r="B42" s="1">
        <v>5</v>
      </c>
      <c r="C42" s="1">
        <v>5.4899999999999997E-2</v>
      </c>
      <c r="D42" s="1">
        <v>5</v>
      </c>
      <c r="E42" s="1">
        <f t="shared" si="14"/>
        <v>2.3214285714285712</v>
      </c>
      <c r="F42" s="1">
        <f t="shared" ref="F42:F47" si="15">D42-E42</f>
        <v>2.6785714285714288</v>
      </c>
      <c r="G42" s="1">
        <f t="shared" ref="G42:G47" si="16">(F42*100)/D42</f>
        <v>53.571428571428577</v>
      </c>
      <c r="H42" s="1">
        <f t="shared" si="3"/>
        <v>2.6785714285714288</v>
      </c>
      <c r="I42" s="1">
        <v>3.9285714285714279</v>
      </c>
      <c r="J42" s="1">
        <v>4.4357142857142868</v>
      </c>
      <c r="K42" s="1">
        <f>LOG(J42)</f>
        <v>0.64696356449834225</v>
      </c>
      <c r="L42" s="1">
        <f>B42/H42</f>
        <v>1.8666666666666665</v>
      </c>
      <c r="M42" s="1">
        <f t="shared" si="7"/>
        <v>2.2360679774997898</v>
      </c>
      <c r="N42" s="1">
        <f t="shared" si="8"/>
        <v>1.6094379124341003</v>
      </c>
      <c r="O42" s="1">
        <f t="shared" si="9"/>
        <v>0.68181818181818199</v>
      </c>
      <c r="P42" s="1">
        <f t="shared" si="10"/>
        <v>0.31818181818181801</v>
      </c>
      <c r="Q42" s="1">
        <f t="shared" si="11"/>
        <v>-1.1451323043030031</v>
      </c>
      <c r="AF42" s="1">
        <v>1440</v>
      </c>
      <c r="AG42" s="1">
        <v>347.58620689655169</v>
      </c>
      <c r="AR42" s="1">
        <v>5.4772255750516612</v>
      </c>
      <c r="AS42" s="1">
        <v>3.1071428571428577</v>
      </c>
      <c r="BL42" s="1">
        <v>4.0943445622221004</v>
      </c>
      <c r="BM42" s="1">
        <v>3.3571428571428568</v>
      </c>
    </row>
    <row r="43" spans="1:65" x14ac:dyDescent="0.25">
      <c r="B43" s="1">
        <v>10</v>
      </c>
      <c r="C43" s="1">
        <v>5.3900000000000003E-2</v>
      </c>
      <c r="D43" s="1">
        <v>5</v>
      </c>
      <c r="E43" s="1">
        <f t="shared" si="14"/>
        <v>1.964285714285716</v>
      </c>
      <c r="F43" s="1">
        <f t="shared" si="15"/>
        <v>3.0357142857142838</v>
      </c>
      <c r="G43" s="1">
        <f t="shared" si="16"/>
        <v>60.71428571428568</v>
      </c>
      <c r="H43" s="1">
        <f t="shared" si="3"/>
        <v>3.0357142857142838</v>
      </c>
      <c r="I43" s="1">
        <v>3.9285714285714279</v>
      </c>
      <c r="J43" s="1">
        <f t="shared" si="4"/>
        <v>0.89285714285714413</v>
      </c>
      <c r="K43" s="1">
        <f t="shared" ref="K43:K46" si="17">LOG(J43)</f>
        <v>-4.9218022670180994E-2</v>
      </c>
      <c r="L43" s="1">
        <f t="shared" si="13"/>
        <v>3.2941176470588256</v>
      </c>
      <c r="M43" s="1">
        <f t="shared" si="7"/>
        <v>3.1622776601683795</v>
      </c>
      <c r="N43" s="1">
        <f t="shared" si="8"/>
        <v>2.3025850929940459</v>
      </c>
      <c r="O43" s="1">
        <f t="shared" si="9"/>
        <v>0.77272727272727237</v>
      </c>
      <c r="P43" s="1">
        <f t="shared" si="10"/>
        <v>0.22727272727272763</v>
      </c>
      <c r="Q43" s="1">
        <f t="shared" si="11"/>
        <v>-1.481604540924214</v>
      </c>
      <c r="AR43" s="1">
        <v>7.745966692414834</v>
      </c>
      <c r="AS43" s="1">
        <v>3.3571428571428568</v>
      </c>
      <c r="BL43" s="1">
        <v>5.1929568508902104</v>
      </c>
      <c r="BM43" s="1">
        <v>3.6785714285714279</v>
      </c>
    </row>
    <row r="44" spans="1:65" x14ac:dyDescent="0.25">
      <c r="B44" s="1">
        <v>30</v>
      </c>
      <c r="C44" s="1">
        <v>5.3699999999999998E-2</v>
      </c>
      <c r="D44" s="1">
        <v>5</v>
      </c>
      <c r="E44" s="1">
        <f t="shared" si="14"/>
        <v>1.8928571428571426</v>
      </c>
      <c r="F44" s="1">
        <f t="shared" si="15"/>
        <v>3.1071428571428577</v>
      </c>
      <c r="G44" s="1">
        <f t="shared" si="16"/>
        <v>62.142857142857153</v>
      </c>
      <c r="H44" s="1">
        <f t="shared" si="3"/>
        <v>3.1071428571428577</v>
      </c>
      <c r="I44" s="1">
        <v>3.9285714285714279</v>
      </c>
      <c r="J44" s="1">
        <f t="shared" si="4"/>
        <v>0.82142857142857029</v>
      </c>
      <c r="K44" s="1">
        <f t="shared" si="17"/>
        <v>-8.5430195324626951E-2</v>
      </c>
      <c r="L44" s="1">
        <f t="shared" si="13"/>
        <v>9.6551724137931014</v>
      </c>
      <c r="M44" s="1">
        <f t="shared" si="7"/>
        <v>5.4772255750516612</v>
      </c>
      <c r="N44" s="1">
        <f t="shared" si="8"/>
        <v>3.4011973816621555</v>
      </c>
      <c r="O44" s="1">
        <f t="shared" si="9"/>
        <v>0.79090909090909112</v>
      </c>
      <c r="P44" s="1">
        <f t="shared" si="10"/>
        <v>0.20909090909090888</v>
      </c>
      <c r="Q44" s="1">
        <f t="shared" si="11"/>
        <v>-1.5649861498632676</v>
      </c>
      <c r="AR44" s="1">
        <v>13.416407864998739</v>
      </c>
      <c r="AS44" s="1">
        <v>3.6785714285714279</v>
      </c>
      <c r="BL44" s="1">
        <v>7.2723983925700466</v>
      </c>
      <c r="BM44" s="1">
        <v>3.9285714285714279</v>
      </c>
    </row>
    <row r="45" spans="1:65" x14ac:dyDescent="0.25">
      <c r="B45" s="1">
        <v>60</v>
      </c>
      <c r="C45" s="1">
        <v>5.2999999999999999E-2</v>
      </c>
      <c r="D45" s="1">
        <v>5</v>
      </c>
      <c r="E45" s="1">
        <f t="shared" si="14"/>
        <v>1.6428571428571428</v>
      </c>
      <c r="F45" s="1">
        <f t="shared" si="15"/>
        <v>3.3571428571428572</v>
      </c>
      <c r="G45" s="1">
        <f t="shared" si="16"/>
        <v>67.142857142857139</v>
      </c>
      <c r="H45" s="1">
        <f t="shared" si="3"/>
        <v>3.3571428571428572</v>
      </c>
      <c r="I45" s="1">
        <v>3.9285714285714279</v>
      </c>
      <c r="J45" s="1">
        <f t="shared" si="4"/>
        <v>0.57142857142857073</v>
      </c>
      <c r="K45" s="1">
        <f t="shared" si="17"/>
        <v>-0.24303804868629497</v>
      </c>
      <c r="L45" s="1">
        <f t="shared" si="13"/>
        <v>17.872340425531913</v>
      </c>
      <c r="M45" s="1">
        <f t="shared" si="7"/>
        <v>7.745966692414834</v>
      </c>
      <c r="N45" s="1">
        <f t="shared" si="8"/>
        <v>4.0943445622221004</v>
      </c>
      <c r="O45" s="1">
        <f t="shared" si="9"/>
        <v>0.85454545454545472</v>
      </c>
      <c r="P45" s="1">
        <f t="shared" si="10"/>
        <v>0.14545454545454528</v>
      </c>
      <c r="Q45" s="1">
        <f t="shared" si="11"/>
        <v>-1.9278916435526361</v>
      </c>
      <c r="AR45" s="1">
        <v>37.947331922020552</v>
      </c>
      <c r="AS45" s="1">
        <v>3.9285714285714279</v>
      </c>
    </row>
    <row r="46" spans="1:65" x14ac:dyDescent="0.25">
      <c r="B46" s="1">
        <v>180</v>
      </c>
      <c r="C46" s="1">
        <v>5.21E-2</v>
      </c>
      <c r="D46" s="1">
        <v>5</v>
      </c>
      <c r="E46" s="1">
        <f t="shared" si="14"/>
        <v>1.3214285714285721</v>
      </c>
      <c r="F46" s="1">
        <f t="shared" si="15"/>
        <v>3.6785714285714279</v>
      </c>
      <c r="G46" s="1">
        <f t="shared" si="16"/>
        <v>73.571428571428555</v>
      </c>
      <c r="H46" s="1">
        <f t="shared" si="3"/>
        <v>3.6785714285714284</v>
      </c>
      <c r="I46" s="1">
        <v>3.9285714285714279</v>
      </c>
      <c r="J46" s="1">
        <f t="shared" si="4"/>
        <v>0.24999999999999956</v>
      </c>
      <c r="K46" s="1">
        <f t="shared" si="17"/>
        <v>-0.60205999132796317</v>
      </c>
      <c r="L46" s="1">
        <f t="shared" si="13"/>
        <v>48.932038834951456</v>
      </c>
      <c r="M46" s="1">
        <f t="shared" si="7"/>
        <v>13.416407864998739</v>
      </c>
      <c r="N46" s="1">
        <f t="shared" si="8"/>
        <v>5.1929568508902104</v>
      </c>
      <c r="O46" s="1">
        <f t="shared" si="9"/>
        <v>0.93636363636363651</v>
      </c>
      <c r="P46" s="1">
        <f t="shared" si="10"/>
        <v>6.3636363636363491E-2</v>
      </c>
      <c r="Q46" s="1">
        <f t="shared" si="11"/>
        <v>-2.7545702167371053</v>
      </c>
    </row>
    <row r="47" spans="1:65" x14ac:dyDescent="0.25">
      <c r="B47" s="1">
        <v>1440</v>
      </c>
      <c r="C47" s="1">
        <v>5.1400000000000001E-2</v>
      </c>
      <c r="D47" s="1">
        <v>5</v>
      </c>
      <c r="E47" s="1">
        <f t="shared" si="14"/>
        <v>1.0714285714285723</v>
      </c>
      <c r="F47" s="1">
        <f t="shared" si="15"/>
        <v>3.9285714285714279</v>
      </c>
      <c r="G47" s="1">
        <f t="shared" si="16"/>
        <v>78.571428571428555</v>
      </c>
      <c r="H47" s="1">
        <f t="shared" si="3"/>
        <v>3.9285714285714279</v>
      </c>
      <c r="I47" s="1">
        <v>3.9285714285714279</v>
      </c>
      <c r="J47" s="1">
        <f t="shared" si="4"/>
        <v>0</v>
      </c>
      <c r="K47" s="1" t="e">
        <f t="shared" si="5"/>
        <v>#NUM!</v>
      </c>
      <c r="L47" s="1">
        <f t="shared" si="13"/>
        <v>366.54545454545462</v>
      </c>
      <c r="M47" s="1">
        <f t="shared" si="7"/>
        <v>37.947331922020552</v>
      </c>
      <c r="N47" s="1">
        <f t="shared" si="8"/>
        <v>7.2723983925700466</v>
      </c>
      <c r="O47" s="1">
        <f t="shared" si="9"/>
        <v>1</v>
      </c>
      <c r="P47" s="1">
        <f t="shared" si="10"/>
        <v>0</v>
      </c>
      <c r="Q47" s="1" t="e">
        <f t="shared" si="11"/>
        <v>#NUM!</v>
      </c>
      <c r="BC47" s="1" t="s">
        <v>9</v>
      </c>
      <c r="BD47" s="1" t="s">
        <v>18</v>
      </c>
    </row>
    <row r="48" spans="1:65" x14ac:dyDescent="0.25">
      <c r="BC48" s="1">
        <v>5</v>
      </c>
      <c r="BD48" s="1">
        <v>-1.1451323043030031</v>
      </c>
    </row>
    <row r="49" spans="20:56" x14ac:dyDescent="0.25">
      <c r="BC49" s="1">
        <v>10</v>
      </c>
      <c r="BD49" s="1">
        <v>-1.481604540924214</v>
      </c>
    </row>
    <row r="50" spans="20:56" x14ac:dyDescent="0.25">
      <c r="AF50" s="1" t="s">
        <v>9</v>
      </c>
      <c r="AG50" s="1" t="s">
        <v>14</v>
      </c>
      <c r="BC50" s="1">
        <v>30</v>
      </c>
      <c r="BD50" s="1">
        <v>-1.5649861498632676</v>
      </c>
    </row>
    <row r="51" spans="20:56" x14ac:dyDescent="0.25">
      <c r="AF51" s="1">
        <v>5</v>
      </c>
      <c r="AG51" s="1">
        <v>1.8666666666666665</v>
      </c>
      <c r="BC51" s="1">
        <v>60</v>
      </c>
      <c r="BD51" s="1">
        <v>-1.9278916435526354</v>
      </c>
    </row>
    <row r="52" spans="20:56" x14ac:dyDescent="0.25">
      <c r="AF52" s="1">
        <v>10</v>
      </c>
      <c r="AG52" s="1">
        <v>3.2941176470588256</v>
      </c>
      <c r="BC52" s="1">
        <v>180</v>
      </c>
      <c r="BD52" s="1">
        <v>-2.7545702167371036</v>
      </c>
    </row>
    <row r="53" spans="20:56" x14ac:dyDescent="0.25">
      <c r="T53" s="1" t="s">
        <v>9</v>
      </c>
      <c r="U53" s="1" t="s">
        <v>13</v>
      </c>
      <c r="AF53" s="1">
        <v>30</v>
      </c>
      <c r="AG53" s="1">
        <v>9.6551724137931014</v>
      </c>
    </row>
    <row r="54" spans="20:56" x14ac:dyDescent="0.25">
      <c r="T54" s="1">
        <v>5</v>
      </c>
      <c r="U54" s="1">
        <v>0.64696356449834225</v>
      </c>
      <c r="AF54" s="1">
        <v>60</v>
      </c>
      <c r="AG54" s="1">
        <v>17.872340425531917</v>
      </c>
    </row>
    <row r="55" spans="20:56" x14ac:dyDescent="0.25">
      <c r="T55" s="1">
        <v>10</v>
      </c>
      <c r="U55" s="1">
        <v>-4.9218022670180994E-2</v>
      </c>
      <c r="AF55" s="1">
        <v>180</v>
      </c>
      <c r="AG55" s="1">
        <v>48.932038834951463</v>
      </c>
    </row>
    <row r="56" spans="20:56" x14ac:dyDescent="0.25">
      <c r="T56" s="1">
        <v>30</v>
      </c>
      <c r="U56" s="1">
        <v>-8.5430195324626951E-2</v>
      </c>
      <c r="AF56" s="1">
        <v>1440</v>
      </c>
      <c r="AG56" s="1">
        <v>366.54545454545462</v>
      </c>
    </row>
    <row r="57" spans="20:56" x14ac:dyDescent="0.25">
      <c r="T57" s="1">
        <v>60</v>
      </c>
      <c r="U57" s="1">
        <v>-0.24303804868629464</v>
      </c>
    </row>
    <row r="58" spans="20:56" x14ac:dyDescent="0.25">
      <c r="T58" s="1">
        <v>180</v>
      </c>
      <c r="U58" s="1">
        <v>-0.6020599913279624</v>
      </c>
    </row>
  </sheetData>
  <pageMargins left="0.7" right="0.7" top="0.75" bottom="0.75" header="0.3" footer="0.3"/>
  <drawing r:id="rId1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