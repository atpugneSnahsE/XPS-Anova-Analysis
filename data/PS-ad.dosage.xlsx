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6FA93D6B-338A-496E-ACB3-00EA8D313752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F15" i="1" s="1"/>
  <c r="G15" i="1" s="1"/>
  <c r="E16" i="1"/>
  <c r="E17" i="1"/>
  <c r="E28" i="1"/>
  <c r="E29" i="1"/>
  <c r="F29" i="1" s="1"/>
  <c r="G29" i="1" s="1"/>
  <c r="E30" i="1"/>
  <c r="F30" i="1" s="1"/>
  <c r="G30" i="1" s="1"/>
  <c r="E31" i="1"/>
  <c r="F31" i="1" s="1"/>
  <c r="G31" i="1" s="1"/>
  <c r="E22" i="1"/>
  <c r="E23" i="1"/>
  <c r="F23" i="1" s="1"/>
  <c r="G23" i="1" s="1"/>
  <c r="E24" i="1"/>
  <c r="F24" i="1" s="1"/>
  <c r="G24" i="1" s="1"/>
  <c r="E21" i="1"/>
  <c r="F21" i="1" s="1"/>
  <c r="G21" i="1" s="1"/>
  <c r="F14" i="1"/>
  <c r="G14" i="1" s="1"/>
  <c r="F22" i="1"/>
  <c r="G22" i="1" s="1"/>
  <c r="F28" i="1"/>
  <c r="G28" i="1" s="1"/>
  <c r="F16" i="1"/>
  <c r="G16" i="1" s="1"/>
  <c r="F17" i="1"/>
  <c r="G17" i="1" s="1"/>
</calcChain>
</file>

<file path=xl/sharedStrings.xml><?xml version="1.0" encoding="utf-8"?>
<sst xmlns="http://schemas.openxmlformats.org/spreadsheetml/2006/main" count="28" uniqueCount="18">
  <si>
    <t>Ad.ds</t>
  </si>
  <si>
    <t>5mg</t>
  </si>
  <si>
    <t>10mg</t>
  </si>
  <si>
    <t>15mg</t>
  </si>
  <si>
    <t>20mg</t>
  </si>
  <si>
    <t>Adsorbent.Dsg</t>
  </si>
  <si>
    <t>GO-CO</t>
  </si>
  <si>
    <t>Absorbance</t>
  </si>
  <si>
    <t>initial concentration</t>
  </si>
  <si>
    <t>final concentration</t>
  </si>
  <si>
    <t>adsorbed</t>
  </si>
  <si>
    <t>% adsorption</t>
  </si>
  <si>
    <t>conc. Mg/L</t>
  </si>
  <si>
    <t>G-MCC90</t>
  </si>
  <si>
    <t>GO-MCC50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</si>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</sst>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31974260206188"/>
          <c:y val="3.3259948740678877E-2"/>
          <c:w val="0.82397806711268295"/>
          <c:h val="0.7543646127528014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74.545454545454533</c:v>
                </c:pt>
                <c:pt idx="1">
                  <c:v>88.63636363636364</c:v>
                </c:pt>
                <c:pt idx="2">
                  <c:v>90.909090909090907</c:v>
                </c:pt>
                <c:pt idx="3">
                  <c:v>92.72727272727272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0-4502-B3EF-B156A33C05CF}"/>
            </c:ext>
          </c:extLst>
        </c:ser>
        <c:ser>
          <c:idx val="1"/>
          <c:order val="1"/>
          <c:tx>
            <c:strRef>
              <c:f>Sheet1!$K$34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80.681818181818159</c:v>
                </c:pt>
                <c:pt idx="1">
                  <c:v>83.63636363636364</c:v>
                </c:pt>
                <c:pt idx="2">
                  <c:v>91.13636363636364</c:v>
                </c:pt>
                <c:pt idx="3">
                  <c:v>91.818181818181799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0-4502-B3EF-B156A33C05CF}"/>
            </c:ext>
          </c:extLst>
        </c:ser>
        <c:ser>
          <c:idx val="2"/>
          <c:order val="2"/>
          <c:tx>
            <c:strRef>
              <c:f>Sheet1!$L$34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.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Sheet1!$L$35:$L$38</c:f>
              <c:numCache>
                <c:formatCode>General</c:formatCode>
                <c:ptCount val="4"/>
                <c:pt idx="0">
                  <c:v>78.181818181818187</c:v>
                </c:pt>
                <c:pt idx="1">
                  <c:v>84.318181818181813</c:v>
                </c:pt>
                <c:pt idx="2">
                  <c:v>84.77272727272728</c:v>
                </c:pt>
                <c:pt idx="3">
                  <c:v>86.590909090909093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40-4502-B3EF-B156A33C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11391"/>
        <c:axId val="458012351"/>
      </c:scatterChart>
      <c:valAx>
        <c:axId val="45801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Adsorbent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Dose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060979877515315"/>
              <c:y val="0.87241506270049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2351"/>
        <c:crosses val="autoZero"/>
        <c:crossBetween val="midCat"/>
      </c:valAx>
      <c:valAx>
        <c:axId val="458012351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139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5866953498674718"/>
          <c:y val="0.52286064375748653"/>
          <c:w val="0.30094510061242347"/>
          <c:h val="0.24942184310294543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560293</xdr:colOff>
      <xdr:row>24</xdr:row>
      <xdr:rowOff>152400</xdr:rowOff>
    </xdr:from>
    <xdr:to>
      <xdr:col>22</xdr:col>
      <xdr:colOff>401053</xdr:colOff>
      <xdr:row>42</xdr:row>
      <xdr:rowOff>107576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EF946-BA1A-374D-2D7E-B5A4BC89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L38"/>
  <sheetViews>
    <sheetView tabSelected="1" topLeftCell="A12" zoomScale="95" zoomScaleNormal="95" workbookViewId="0">
      <selection activeCell="N19" sqref="N19"/>
    </sheetView>
  </sheetViews>
  <sheetFormatPr defaultRowHeight="14.4" x14ac:dyDescent="0.3"/>
  <sheetData>
    <row r="3" spans="1:7" x14ac:dyDescent="0.3">
      <c r="B3" t="s">
        <v>12</v>
      </c>
      <c r="C3" t="s">
        <v>7</v>
      </c>
    </row>
    <row r="4" spans="1:7" x14ac:dyDescent="0.3">
      <c r="B4">
        <v>1</v>
      </c>
      <c r="C4">
        <v>8.8319999999999996E-2</v>
      </c>
    </row>
    <row r="5" spans="1:7" x14ac:dyDescent="0.3">
      <c r="B5">
        <v>2</v>
      </c>
      <c r="C5">
        <v>9.6560000000000007E-2</v>
      </c>
    </row>
    <row r="6" spans="1:7" x14ac:dyDescent="0.3">
      <c r="B6">
        <v>5</v>
      </c>
      <c r="C6">
        <v>0.11438</v>
      </c>
    </row>
    <row r="7" spans="1:7" x14ac:dyDescent="0.3">
      <c r="B7">
        <v>10</v>
      </c>
      <c r="C7">
        <v>0.13367999999999999</v>
      </c>
    </row>
    <row r="8" spans="1:7" x14ac:dyDescent="0.3">
      <c r="B8">
        <v>20</v>
      </c>
      <c r="C8">
        <v>0.17385999999999999</v>
      </c>
    </row>
    <row r="11" spans="1:7" x14ac:dyDescent="0.3">
      <c r="A11" t="s">
        <v>6</v>
      </c>
    </row>
    <row r="13" spans="1:7" x14ac:dyDescent="0.3">
      <c r="B13" t="s">
        <v>0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7" x14ac:dyDescent="0.3">
      <c r="B14" t="s">
        <v>1</v>
      </c>
      <c r="C14">
        <v>9.9299999999999999E-2</v>
      </c>
      <c r="D14">
        <v>10</v>
      </c>
      <c r="E14">
        <f t="shared" ref="E14:E17" si="0">(C14-0.0881)/0.0044</f>
        <v>2.5454545454545459</v>
      </c>
      <c r="F14">
        <f>D14-E14</f>
        <v>7.4545454545454541</v>
      </c>
      <c r="G14">
        <f>(F14*100)/D14</f>
        <v>74.545454545454533</v>
      </c>
    </row>
    <row r="15" spans="1:7" x14ac:dyDescent="0.3">
      <c r="B15" t="s">
        <v>2</v>
      </c>
      <c r="C15">
        <v>9.3100000000000002E-2</v>
      </c>
      <c r="D15">
        <v>10</v>
      </c>
      <c r="E15">
        <f t="shared" si="0"/>
        <v>1.1363636363636374</v>
      </c>
      <c r="F15">
        <f t="shared" ref="F15:F31" si="1">D15-E15</f>
        <v>8.8636363636363633</v>
      </c>
      <c r="G15">
        <f t="shared" ref="G15:G30" si="2">(F15*100)/D15</f>
        <v>88.63636363636364</v>
      </c>
    </row>
    <row r="16" spans="1:7" x14ac:dyDescent="0.3">
      <c r="B16" t="s">
        <v>3</v>
      </c>
      <c r="C16">
        <v>9.2100000000000001E-2</v>
      </c>
      <c r="D16">
        <v>10</v>
      </c>
      <c r="E16">
        <f t="shared" si="0"/>
        <v>0.90909090909090984</v>
      </c>
      <c r="F16">
        <f t="shared" si="1"/>
        <v>9.0909090909090899</v>
      </c>
      <c r="G16">
        <f t="shared" si="2"/>
        <v>90.909090909090907</v>
      </c>
    </row>
    <row r="17" spans="1:7" x14ac:dyDescent="0.3">
      <c r="B17" t="s">
        <v>4</v>
      </c>
      <c r="C17">
        <v>9.1300000000000006E-2</v>
      </c>
      <c r="D17">
        <v>10</v>
      </c>
      <c r="E17">
        <f t="shared" si="0"/>
        <v>0.72727272727272918</v>
      </c>
      <c r="F17">
        <f t="shared" si="1"/>
        <v>9.2727272727272716</v>
      </c>
      <c r="G17">
        <f t="shared" si="2"/>
        <v>92.72727272727272</v>
      </c>
    </row>
    <row r="18" spans="1:7" x14ac:dyDescent="0.3">
      <c r="A18" t="s">
        <v>13</v>
      </c>
    </row>
    <row r="20" spans="1:7" x14ac:dyDescent="0.3">
      <c r="B20" t="s">
        <v>5</v>
      </c>
    </row>
    <row r="21" spans="1:7" x14ac:dyDescent="0.3">
      <c r="B21" t="s">
        <v>1</v>
      </c>
      <c r="C21">
        <v>9.7699999999999995E-2</v>
      </c>
      <c r="D21">
        <v>10</v>
      </c>
      <c r="E21">
        <f>(C21-0.0881)/0.0044</f>
        <v>2.1818181818181812</v>
      </c>
      <c r="F21">
        <f t="shared" si="1"/>
        <v>7.8181818181818183</v>
      </c>
      <c r="G21">
        <f t="shared" si="2"/>
        <v>78.181818181818187</v>
      </c>
    </row>
    <row r="22" spans="1:7" x14ac:dyDescent="0.3">
      <c r="B22" t="s">
        <v>2</v>
      </c>
      <c r="C22">
        <v>9.5000000000000001E-2</v>
      </c>
      <c r="D22">
        <v>10</v>
      </c>
      <c r="E22">
        <f t="shared" ref="E22:E31" si="3">(C22-0.0881)/0.0044</f>
        <v>1.5681818181818188</v>
      </c>
      <c r="F22">
        <f t="shared" si="1"/>
        <v>8.4318181818181817</v>
      </c>
      <c r="G22">
        <f t="shared" si="2"/>
        <v>84.318181818181813</v>
      </c>
    </row>
    <row r="23" spans="1:7" x14ac:dyDescent="0.3">
      <c r="B23" t="s">
        <v>3</v>
      </c>
      <c r="C23">
        <v>9.4799999999999995E-2</v>
      </c>
      <c r="D23">
        <v>10</v>
      </c>
      <c r="E23">
        <f t="shared" si="3"/>
        <v>1.522727272727272</v>
      </c>
      <c r="F23">
        <f t="shared" si="1"/>
        <v>8.4772727272727284</v>
      </c>
      <c r="G23">
        <f t="shared" si="2"/>
        <v>84.77272727272728</v>
      </c>
    </row>
    <row r="24" spans="1:7" x14ac:dyDescent="0.3">
      <c r="B24" t="s">
        <v>4</v>
      </c>
      <c r="C24">
        <v>9.4E-2</v>
      </c>
      <c r="D24">
        <v>10</v>
      </c>
      <c r="E24">
        <f t="shared" si="3"/>
        <v>1.3409090909090915</v>
      </c>
      <c r="F24">
        <f t="shared" si="1"/>
        <v>8.6590909090909083</v>
      </c>
      <c r="G24">
        <f t="shared" si="2"/>
        <v>86.590909090909093</v>
      </c>
    </row>
    <row r="26" spans="1:7" x14ac:dyDescent="0.3">
      <c r="A26" t="s">
        <v>14</v>
      </c>
    </row>
    <row r="27" spans="1:7" x14ac:dyDescent="0.3">
      <c r="B27" t="s">
        <v>5</v>
      </c>
    </row>
    <row r="28" spans="1:7" x14ac:dyDescent="0.3">
      <c r="B28" t="s">
        <v>1</v>
      </c>
      <c r="C28">
        <v>9.6600000000000005E-2</v>
      </c>
      <c r="D28">
        <v>10</v>
      </c>
      <c r="E28">
        <f t="shared" si="3"/>
        <v>1.9318181818181834</v>
      </c>
      <c r="F28">
        <f t="shared" si="1"/>
        <v>8.0681818181818166</v>
      </c>
      <c r="G28">
        <f t="shared" si="2"/>
        <v>80.681818181818159</v>
      </c>
    </row>
    <row r="29" spans="1:7" x14ac:dyDescent="0.3">
      <c r="B29" t="s">
        <v>2</v>
      </c>
      <c r="C29">
        <v>9.5299999999999996E-2</v>
      </c>
      <c r="D29">
        <v>10</v>
      </c>
      <c r="E29">
        <f t="shared" si="3"/>
        <v>1.6363636363636358</v>
      </c>
      <c r="F29">
        <f t="shared" si="1"/>
        <v>8.3636363636363633</v>
      </c>
      <c r="G29">
        <f t="shared" si="2"/>
        <v>83.63636363636364</v>
      </c>
    </row>
    <row r="30" spans="1:7" x14ac:dyDescent="0.3">
      <c r="B30" t="s">
        <v>3</v>
      </c>
      <c r="C30">
        <v>9.1999999999999998E-2</v>
      </c>
      <c r="D30">
        <v>10</v>
      </c>
      <c r="E30">
        <f t="shared" si="3"/>
        <v>0.88636363636363646</v>
      </c>
      <c r="F30">
        <f t="shared" si="1"/>
        <v>9.1136363636363633</v>
      </c>
      <c r="G30">
        <f t="shared" si="2"/>
        <v>91.13636363636364</v>
      </c>
    </row>
    <row r="31" spans="1:7" x14ac:dyDescent="0.3">
      <c r="B31" t="s">
        <v>4</v>
      </c>
      <c r="C31">
        <v>9.1700000000000004E-2</v>
      </c>
      <c r="D31">
        <v>10</v>
      </c>
      <c r="E31">
        <f t="shared" si="3"/>
        <v>0.81818181818181945</v>
      </c>
      <c r="F31">
        <f t="shared" si="1"/>
        <v>9.1818181818181799</v>
      </c>
      <c r="G31">
        <f>(F31*100)/D31</f>
        <v>91.818181818181799</v>
      </c>
    </row>
    <row r="34" spans="9:12" x14ac:dyDescent="0.3">
      <c r="J34" t="s">
        <v>15</v>
      </c>
      <c r="K34" t="s">
        <v>16</v>
      </c>
      <c r="L34" t="s">
        <v>17</v>
      </c>
    </row>
    <row r="35" spans="9:12" x14ac:dyDescent="0.3">
      <c r="I35">
        <v>5</v>
      </c>
      <c r="J35">
        <v>74.545454545454533</v>
      </c>
      <c r="K35">
        <v>80.681818181818159</v>
      </c>
      <c r="L35">
        <v>78.181818181818187</v>
      </c>
    </row>
    <row r="36" spans="9:12" x14ac:dyDescent="0.3">
      <c r="I36">
        <v>10</v>
      </c>
      <c r="J36">
        <v>88.63636363636364</v>
      </c>
      <c r="K36">
        <v>83.63636363636364</v>
      </c>
      <c r="L36">
        <v>84.318181818181813</v>
      </c>
    </row>
    <row r="37" spans="9:12" x14ac:dyDescent="0.3">
      <c r="I37">
        <v>15</v>
      </c>
      <c r="J37">
        <v>90.909090909090907</v>
      </c>
      <c r="K37">
        <v>91.13636363636364</v>
      </c>
      <c r="L37">
        <v>84.77272727272728</v>
      </c>
    </row>
    <row r="38" spans="9:12" x14ac:dyDescent="0.3">
      <c r="I38">
        <v>20</v>
      </c>
      <c r="J38">
        <v>92.72727272727272</v>
      </c>
      <c r="K38">
        <v>91.818181818181799</v>
      </c>
      <c r="L38">
        <v>86.590909090909093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2026-06-15T16:47:38Z</dcterms:modified>
</cp:coreProperties>
</file>