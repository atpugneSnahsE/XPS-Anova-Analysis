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1E33D3C2-D109-41CB-AA3E-635179749955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E22" i="1"/>
  <c r="G32" i="1"/>
  <c r="G23" i="1"/>
  <c r="G24" i="1"/>
  <c r="G25" i="1"/>
  <c r="G26" i="1"/>
  <c r="G27" i="1"/>
  <c r="G28" i="1"/>
  <c r="G33" i="1"/>
  <c r="G34" i="1"/>
  <c r="G35" i="1"/>
  <c r="G36" i="1"/>
  <c r="G37" i="1"/>
  <c r="G38" i="1"/>
  <c r="G42" i="1"/>
  <c r="G43" i="1"/>
  <c r="G44" i="1"/>
  <c r="G45" i="1"/>
  <c r="G46" i="1"/>
  <c r="G47" i="1"/>
  <c r="G48" i="1"/>
  <c r="F23" i="1"/>
  <c r="E32" i="1"/>
  <c r="F32" i="1" s="1"/>
  <c r="E33" i="1"/>
  <c r="F33" i="1" s="1"/>
  <c r="E34" i="1"/>
  <c r="F34" i="1" s="1"/>
  <c r="E35" i="1"/>
  <c r="E36" i="1"/>
  <c r="E37" i="1"/>
  <c r="E38" i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23" i="1"/>
  <c r="E24" i="1"/>
  <c r="E25" i="1"/>
  <c r="E26" i="1"/>
  <c r="E27" i="1"/>
  <c r="E28" i="1"/>
  <c r="F35" i="1"/>
  <c r="F36" i="1"/>
  <c r="F24" i="1"/>
  <c r="F25" i="1"/>
  <c r="F26" i="1"/>
  <c r="F27" i="1"/>
  <c r="F28" i="1"/>
  <c r="F37" i="1"/>
  <c r="F38" i="1"/>
</calcChain>
</file>

<file path=xl/sharedStrings.xml><?xml version="1.0" encoding="utf-8"?>
<sst xmlns="http://schemas.openxmlformats.org/spreadsheetml/2006/main" count="18" uniqueCount="15">
  <si>
    <t>pH</t>
  </si>
  <si>
    <t>conc. Mg/L</t>
  </si>
  <si>
    <t>Absorbance</t>
  </si>
  <si>
    <t>GO-Chitosan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</si>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</sst>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0.08</c:v>
                </c:pt>
                <c:pt idx="1">
                  <c:v>0.161</c:v>
                </c:pt>
                <c:pt idx="2">
                  <c:v>0.38</c:v>
                </c:pt>
                <c:pt idx="3">
                  <c:v>0.8</c:v>
                </c:pt>
                <c:pt idx="4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381361481116"/>
          <c:y val="4.3325680108696023E-2"/>
          <c:w val="0.85338371368360066"/>
          <c:h val="0.7693324109126252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Sheet1!$K$22:$K$28</c:f>
              <c:numCache>
                <c:formatCode>General</c:formatCode>
                <c:ptCount val="7"/>
                <c:pt idx="0">
                  <c:v>79.032967032967036</c:v>
                </c:pt>
                <c:pt idx="1">
                  <c:v>81.349450549450552</c:v>
                </c:pt>
                <c:pt idx="2">
                  <c:v>88.123076923076923</c:v>
                </c:pt>
                <c:pt idx="3">
                  <c:v>86.307692307692292</c:v>
                </c:pt>
                <c:pt idx="4">
                  <c:v>81.367032967032969</c:v>
                </c:pt>
                <c:pt idx="5">
                  <c:v>79.736263736263737</c:v>
                </c:pt>
                <c:pt idx="6">
                  <c:v>75.98681318681318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B-415A-B32D-C5E260EE3E07}"/>
            </c:ext>
          </c:extLst>
        </c:ser>
        <c:ser>
          <c:idx val="1"/>
          <c:order val="1"/>
          <c:tx>
            <c:strRef>
              <c:f>Sheet1!$L$21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Sheet1!$L$22:$L$28</c:f>
              <c:numCache>
                <c:formatCode>General</c:formatCode>
                <c:ptCount val="7"/>
                <c:pt idx="0">
                  <c:v>81.397802197802207</c:v>
                </c:pt>
                <c:pt idx="1">
                  <c:v>85.709890109890111</c:v>
                </c:pt>
                <c:pt idx="2">
                  <c:v>85.213186813186809</c:v>
                </c:pt>
                <c:pt idx="3">
                  <c:v>84.54945054945054</c:v>
                </c:pt>
                <c:pt idx="4">
                  <c:v>84.290109890109889</c:v>
                </c:pt>
                <c:pt idx="5">
                  <c:v>84.039560439560432</c:v>
                </c:pt>
                <c:pt idx="6">
                  <c:v>83.098901098901109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B-415A-B32D-C5E260EE3E07}"/>
            </c:ext>
          </c:extLst>
        </c:ser>
        <c:ser>
          <c:idx val="2"/>
          <c:order val="2"/>
          <c:tx>
            <c:strRef>
              <c:f>Sheet1!$M$21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Sheet1!$M$22:$M$28</c:f>
              <c:numCache>
                <c:formatCode>General</c:formatCode>
                <c:ptCount val="7"/>
                <c:pt idx="0">
                  <c:v>79.670329670329664</c:v>
                </c:pt>
                <c:pt idx="1">
                  <c:v>83.80219780219781</c:v>
                </c:pt>
                <c:pt idx="2">
                  <c:v>79.718681318681305</c:v>
                </c:pt>
                <c:pt idx="3">
                  <c:v>79.604395604395606</c:v>
                </c:pt>
                <c:pt idx="4">
                  <c:v>78.892307692307696</c:v>
                </c:pt>
                <c:pt idx="5">
                  <c:v>78.707692307692312</c:v>
                </c:pt>
                <c:pt idx="6">
                  <c:v>77.032967032967036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DB-415A-B32D-C5E260EE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79168"/>
        <c:axId val="463979648"/>
      </c:scatterChart>
      <c:valAx>
        <c:axId val="463979168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648"/>
        <c:crosses val="autoZero"/>
        <c:crossBetween val="midCat"/>
      </c:valAx>
      <c:valAx>
        <c:axId val="463979648"/>
        <c:scaling>
          <c:orientation val="minMax"/>
          <c:min val="7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Adsorption (</a:t>
                </a: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r>
                  <a:rPr lang="en-GB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GB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556385414893909E-3"/>
              <c:y val="0.18587016877800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16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7405815510106504"/>
          <c:y val="7.3765522081152141E-2"/>
          <c:w val="0.28351402506845608"/>
          <c:h val="0.21473703454028176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415292</xdr:colOff>
      <xdr:row>4</xdr:row>
      <xdr:rowOff>121382</xdr:rowOff>
    </xdr:from>
    <xdr:to>
      <xdr:col>22</xdr:col>
      <xdr:colOff>289964</xdr:colOff>
      <xdr:row>20</xdr:row>
      <xdr:rowOff>25965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8005E-2B69-9878-F22D-1E7596CA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B4:Q48"/>
  <sheetViews>
    <sheetView tabSelected="1" topLeftCell="L5" zoomScale="184" zoomScaleNormal="184" workbookViewId="0">
      <selection activeCell="N20" sqref="N20"/>
    </sheetView>
  </sheetViews>
  <sheetFormatPr defaultRowHeight="14.4" x14ac:dyDescent="0.3"/>
  <sheetData>
    <row r="4" spans="2:3" x14ac:dyDescent="0.3">
      <c r="B4" t="s">
        <v>1</v>
      </c>
      <c r="C4" t="s">
        <v>2</v>
      </c>
    </row>
    <row r="5" spans="2:3" x14ac:dyDescent="0.3">
      <c r="B5">
        <v>1</v>
      </c>
      <c r="C5">
        <v>0.08</v>
      </c>
    </row>
    <row r="6" spans="2:3" x14ac:dyDescent="0.3">
      <c r="B6">
        <v>2</v>
      </c>
      <c r="C6">
        <v>0.161</v>
      </c>
    </row>
    <row r="7" spans="2:3" x14ac:dyDescent="0.3">
      <c r="B7">
        <v>5</v>
      </c>
      <c r="C7">
        <v>0.38</v>
      </c>
    </row>
    <row r="8" spans="2:3" x14ac:dyDescent="0.3">
      <c r="B8">
        <v>10</v>
      </c>
      <c r="C8">
        <v>0.8</v>
      </c>
    </row>
    <row r="9" spans="2:3" x14ac:dyDescent="0.3">
      <c r="B9">
        <v>20</v>
      </c>
      <c r="C9">
        <v>1.81</v>
      </c>
    </row>
    <row r="20" spans="2:17" ht="25.8" x14ac:dyDescent="0.5">
      <c r="D20" t="s">
        <v>6</v>
      </c>
      <c r="H20" s="5" t="s">
        <v>3</v>
      </c>
    </row>
    <row r="21" spans="2:17" x14ac:dyDescent="0.3">
      <c r="B21" t="s">
        <v>0</v>
      </c>
      <c r="C21" t="s">
        <v>4</v>
      </c>
      <c r="D21" t="s">
        <v>5</v>
      </c>
      <c r="E21" t="s">
        <v>7</v>
      </c>
      <c r="F21" t="s">
        <v>8</v>
      </c>
      <c r="G21" t="s">
        <v>9</v>
      </c>
      <c r="J21" t="s">
        <v>0</v>
      </c>
      <c r="K21" t="s">
        <v>12</v>
      </c>
      <c r="L21" t="s">
        <v>13</v>
      </c>
      <c r="M21" t="s">
        <v>14</v>
      </c>
    </row>
    <row r="22" spans="2:17" ht="15.6" x14ac:dyDescent="0.3">
      <c r="B22">
        <v>3</v>
      </c>
      <c r="C22">
        <v>5.0099999999999999E-2</v>
      </c>
      <c r="D22">
        <v>5</v>
      </c>
      <c r="E22">
        <f>(C22+0.0453)/0.091</f>
        <v>1.0483516483516484</v>
      </c>
      <c r="F22">
        <f>D22-E22</f>
        <v>3.9516483516483518</v>
      </c>
      <c r="G22">
        <f>(F22*100)/D22</f>
        <v>79.032967032967036</v>
      </c>
      <c r="J22" s="1">
        <v>3</v>
      </c>
      <c r="K22">
        <v>79.032967032967036</v>
      </c>
      <c r="L22">
        <v>81.397802197802207</v>
      </c>
      <c r="M22">
        <v>79.670329670329664</v>
      </c>
    </row>
    <row r="23" spans="2:17" x14ac:dyDescent="0.3">
      <c r="B23">
        <v>4</v>
      </c>
      <c r="C23">
        <v>3.9559999999999998E-2</v>
      </c>
      <c r="D23">
        <v>5</v>
      </c>
      <c r="E23">
        <f t="shared" ref="E23:E48" si="0">(C23+0.0453)/0.091</f>
        <v>0.93252747252747248</v>
      </c>
      <c r="F23">
        <f>D23-E23</f>
        <v>4.0674725274725274</v>
      </c>
      <c r="G23">
        <f t="shared" ref="G23:G48" si="1">(F23*100)/D23</f>
        <v>81.349450549450552</v>
      </c>
      <c r="J23">
        <v>4</v>
      </c>
      <c r="K23">
        <v>81.349450549450552</v>
      </c>
      <c r="L23">
        <v>85.709890109890111</v>
      </c>
      <c r="M23">
        <v>83.80219780219781</v>
      </c>
    </row>
    <row r="24" spans="2:17" x14ac:dyDescent="0.3">
      <c r="B24">
        <v>5</v>
      </c>
      <c r="C24">
        <v>8.7399999999999995E-3</v>
      </c>
      <c r="D24">
        <v>5</v>
      </c>
      <c r="E24">
        <f t="shared" si="0"/>
        <v>0.5938461538461538</v>
      </c>
      <c r="F24">
        <f t="shared" ref="F24:F48" si="2">D24-E24</f>
        <v>4.4061538461538463</v>
      </c>
      <c r="G24">
        <f t="shared" si="1"/>
        <v>88.123076923076923</v>
      </c>
      <c r="J24">
        <v>5</v>
      </c>
      <c r="K24">
        <v>88.123076923076923</v>
      </c>
      <c r="L24">
        <v>85.213186813186809</v>
      </c>
      <c r="M24">
        <v>79.718681318681305</v>
      </c>
    </row>
    <row r="25" spans="2:17" x14ac:dyDescent="0.3">
      <c r="B25">
        <v>6</v>
      </c>
      <c r="C25">
        <v>1.7000000000000001E-2</v>
      </c>
      <c r="D25">
        <v>5</v>
      </c>
      <c r="E25">
        <f t="shared" si="0"/>
        <v>0.68461538461538463</v>
      </c>
      <c r="F25">
        <f t="shared" si="2"/>
        <v>4.3153846153846152</v>
      </c>
      <c r="G25">
        <f t="shared" si="1"/>
        <v>86.307692307692292</v>
      </c>
      <c r="J25">
        <v>6</v>
      </c>
      <c r="K25">
        <v>86.307692307692292</v>
      </c>
      <c r="L25">
        <v>84.54945054945054</v>
      </c>
      <c r="M25">
        <v>79.604395604395606</v>
      </c>
    </row>
    <row r="26" spans="2:17" x14ac:dyDescent="0.3">
      <c r="B26">
        <v>7</v>
      </c>
      <c r="C26">
        <v>3.9480000000000001E-2</v>
      </c>
      <c r="D26">
        <v>5</v>
      </c>
      <c r="E26">
        <f t="shared" si="0"/>
        <v>0.93164835164835158</v>
      </c>
      <c r="F26">
        <f t="shared" si="2"/>
        <v>4.0683516483516486</v>
      </c>
      <c r="G26">
        <f t="shared" si="1"/>
        <v>81.367032967032969</v>
      </c>
      <c r="J26">
        <v>7</v>
      </c>
      <c r="K26">
        <v>81.367032967032969</v>
      </c>
      <c r="L26">
        <v>84.290109890109889</v>
      </c>
      <c r="M26">
        <v>78.892307692307696</v>
      </c>
    </row>
    <row r="27" spans="2:17" x14ac:dyDescent="0.3">
      <c r="B27">
        <v>8</v>
      </c>
      <c r="C27">
        <v>4.6899999999999997E-2</v>
      </c>
      <c r="D27">
        <v>5</v>
      </c>
      <c r="E27">
        <f t="shared" si="0"/>
        <v>1.0131868131868134</v>
      </c>
      <c r="F27">
        <f t="shared" si="2"/>
        <v>3.9868131868131869</v>
      </c>
      <c r="G27">
        <f t="shared" si="1"/>
        <v>79.736263736263737</v>
      </c>
      <c r="J27">
        <v>8</v>
      </c>
      <c r="K27">
        <v>79.736263736263737</v>
      </c>
      <c r="L27">
        <v>84.039560439560432</v>
      </c>
      <c r="M27">
        <v>78.707692307692312</v>
      </c>
    </row>
    <row r="28" spans="2:17" x14ac:dyDescent="0.3">
      <c r="B28">
        <v>9</v>
      </c>
      <c r="C28">
        <v>6.3960000000000003E-2</v>
      </c>
      <c r="D28">
        <v>5</v>
      </c>
      <c r="E28">
        <f t="shared" si="0"/>
        <v>1.2006593406593407</v>
      </c>
      <c r="F28">
        <f t="shared" si="2"/>
        <v>3.7993406593406593</v>
      </c>
      <c r="G28">
        <f t="shared" si="1"/>
        <v>75.98681318681318</v>
      </c>
      <c r="J28">
        <v>9</v>
      </c>
      <c r="K28">
        <v>75.98681318681318</v>
      </c>
      <c r="L28">
        <v>83.098901098901109</v>
      </c>
      <c r="M28">
        <v>77.032967032967036</v>
      </c>
    </row>
    <row r="30" spans="2:17" ht="28.8" x14ac:dyDescent="0.55000000000000004">
      <c r="F30" s="6"/>
    </row>
    <row r="31" spans="2:17" x14ac:dyDescent="0.3">
      <c r="B31" t="s">
        <v>0</v>
      </c>
      <c r="C31" t="s">
        <v>10</v>
      </c>
    </row>
    <row r="32" spans="2:17" ht="21" x14ac:dyDescent="0.4">
      <c r="B32">
        <v>3</v>
      </c>
      <c r="C32">
        <v>3.934E-2</v>
      </c>
      <c r="D32">
        <v>5</v>
      </c>
      <c r="E32">
        <f t="shared" si="0"/>
        <v>0.93010989010989009</v>
      </c>
      <c r="F32">
        <f t="shared" si="2"/>
        <v>4.0698901098901104</v>
      </c>
      <c r="G32">
        <f>(F32*100)/D32</f>
        <v>81.397802197802207</v>
      </c>
      <c r="K32" s="1"/>
      <c r="N32" s="2"/>
      <c r="Q32" s="3"/>
    </row>
    <row r="33" spans="2:7" x14ac:dyDescent="0.3">
      <c r="B33">
        <v>4</v>
      </c>
      <c r="C33">
        <v>1.9720000000000001E-2</v>
      </c>
      <c r="D33">
        <v>5</v>
      </c>
      <c r="E33">
        <f t="shared" si="0"/>
        <v>0.7145054945054945</v>
      </c>
      <c r="F33">
        <f t="shared" si="2"/>
        <v>4.2854945054945057</v>
      </c>
      <c r="G33">
        <f t="shared" si="1"/>
        <v>85.709890109890111</v>
      </c>
    </row>
    <row r="34" spans="2:7" x14ac:dyDescent="0.3">
      <c r="B34">
        <v>5</v>
      </c>
      <c r="C34">
        <v>2.198E-2</v>
      </c>
      <c r="D34">
        <v>5</v>
      </c>
      <c r="E34">
        <f t="shared" si="0"/>
        <v>0.7393406593406594</v>
      </c>
      <c r="F34">
        <f t="shared" si="2"/>
        <v>4.2606593406593403</v>
      </c>
      <c r="G34">
        <f t="shared" si="1"/>
        <v>85.213186813186809</v>
      </c>
    </row>
    <row r="35" spans="2:7" x14ac:dyDescent="0.3">
      <c r="B35">
        <v>6</v>
      </c>
      <c r="C35">
        <v>2.5000000000000001E-2</v>
      </c>
      <c r="D35">
        <v>5</v>
      </c>
      <c r="E35">
        <f t="shared" si="0"/>
        <v>0.77252747252747256</v>
      </c>
      <c r="F35">
        <f t="shared" si="2"/>
        <v>4.2274725274725276</v>
      </c>
      <c r="G35">
        <f t="shared" si="1"/>
        <v>84.54945054945054</v>
      </c>
    </row>
    <row r="36" spans="2:7" x14ac:dyDescent="0.3">
      <c r="B36">
        <v>7</v>
      </c>
      <c r="C36">
        <v>2.6179999999999998E-2</v>
      </c>
      <c r="D36">
        <v>5</v>
      </c>
      <c r="E36">
        <f t="shared" si="0"/>
        <v>0.7854945054945055</v>
      </c>
      <c r="F36">
        <f t="shared" si="2"/>
        <v>4.2145054945054943</v>
      </c>
      <c r="G36">
        <f t="shared" si="1"/>
        <v>84.290109890109889</v>
      </c>
    </row>
    <row r="37" spans="2:7" x14ac:dyDescent="0.3">
      <c r="B37">
        <v>8</v>
      </c>
      <c r="C37">
        <v>2.7320000000000001E-2</v>
      </c>
      <c r="D37">
        <v>5</v>
      </c>
      <c r="E37">
        <f t="shared" si="0"/>
        <v>0.79802197802197805</v>
      </c>
      <c r="F37">
        <f t="shared" si="2"/>
        <v>4.2019780219780216</v>
      </c>
      <c r="G37">
        <f t="shared" si="1"/>
        <v>84.039560439560432</v>
      </c>
    </row>
    <row r="38" spans="2:7" x14ac:dyDescent="0.3">
      <c r="B38">
        <v>9</v>
      </c>
      <c r="C38">
        <v>3.1600000000000003E-2</v>
      </c>
      <c r="D38">
        <v>5</v>
      </c>
      <c r="E38">
        <f t="shared" si="0"/>
        <v>0.84505494505494505</v>
      </c>
      <c r="F38">
        <f t="shared" si="2"/>
        <v>4.1549450549450553</v>
      </c>
      <c r="G38">
        <f t="shared" si="1"/>
        <v>83.098901098901109</v>
      </c>
    </row>
    <row r="40" spans="2:7" ht="23.4" x14ac:dyDescent="0.45">
      <c r="F40" s="4"/>
    </row>
    <row r="41" spans="2:7" x14ac:dyDescent="0.3">
      <c r="B41" t="s">
        <v>0</v>
      </c>
      <c r="C41" t="s">
        <v>11</v>
      </c>
    </row>
    <row r="42" spans="2:7" x14ac:dyDescent="0.3">
      <c r="B42">
        <v>3</v>
      </c>
      <c r="C42">
        <v>4.7199999999999999E-2</v>
      </c>
      <c r="D42">
        <v>5</v>
      </c>
      <c r="E42">
        <f t="shared" si="0"/>
        <v>1.0164835164835164</v>
      </c>
      <c r="F42">
        <f t="shared" si="2"/>
        <v>3.9835164835164836</v>
      </c>
      <c r="G42">
        <f t="shared" si="1"/>
        <v>79.670329670329664</v>
      </c>
    </row>
    <row r="43" spans="2:7" x14ac:dyDescent="0.3">
      <c r="B43">
        <v>4</v>
      </c>
      <c r="C43">
        <v>2.8400000000000002E-2</v>
      </c>
      <c r="D43">
        <v>5</v>
      </c>
      <c r="E43">
        <f t="shared" si="0"/>
        <v>0.8098901098901099</v>
      </c>
      <c r="F43">
        <f t="shared" si="2"/>
        <v>4.1901098901098903</v>
      </c>
      <c r="G43">
        <f t="shared" si="1"/>
        <v>83.80219780219781</v>
      </c>
    </row>
    <row r="44" spans="2:7" x14ac:dyDescent="0.3">
      <c r="B44">
        <v>5</v>
      </c>
      <c r="C44">
        <v>4.6980000000000001E-2</v>
      </c>
      <c r="D44">
        <v>5</v>
      </c>
      <c r="E44">
        <f t="shared" si="0"/>
        <v>1.0140659340659341</v>
      </c>
      <c r="F44">
        <f t="shared" si="2"/>
        <v>3.9859340659340656</v>
      </c>
      <c r="G44">
        <f t="shared" si="1"/>
        <v>79.718681318681305</v>
      </c>
    </row>
    <row r="45" spans="2:7" x14ac:dyDescent="0.3">
      <c r="B45">
        <v>6</v>
      </c>
      <c r="C45">
        <v>4.7500000000000001E-2</v>
      </c>
      <c r="D45">
        <v>5</v>
      </c>
      <c r="E45">
        <f t="shared" si="0"/>
        <v>1.0197802197802197</v>
      </c>
      <c r="F45">
        <f t="shared" si="2"/>
        <v>3.9802197802197803</v>
      </c>
      <c r="G45">
        <f t="shared" si="1"/>
        <v>79.604395604395606</v>
      </c>
    </row>
    <row r="46" spans="2:7" x14ac:dyDescent="0.3">
      <c r="B46">
        <v>7</v>
      </c>
      <c r="C46">
        <v>5.074E-2</v>
      </c>
      <c r="D46">
        <v>5</v>
      </c>
      <c r="E46">
        <f t="shared" si="0"/>
        <v>1.0553846153846154</v>
      </c>
      <c r="F46">
        <f t="shared" si="2"/>
        <v>3.9446153846153846</v>
      </c>
      <c r="G46">
        <f t="shared" si="1"/>
        <v>78.892307692307696</v>
      </c>
    </row>
    <row r="47" spans="2:7" x14ac:dyDescent="0.3">
      <c r="B47">
        <v>8</v>
      </c>
      <c r="C47">
        <v>5.1580000000000001E-2</v>
      </c>
      <c r="D47">
        <v>5</v>
      </c>
      <c r="E47">
        <f t="shared" si="0"/>
        <v>1.0646153846153845</v>
      </c>
      <c r="F47">
        <f t="shared" si="2"/>
        <v>3.9353846153846153</v>
      </c>
      <c r="G47">
        <f t="shared" si="1"/>
        <v>78.707692307692312</v>
      </c>
    </row>
    <row r="48" spans="2:7" x14ac:dyDescent="0.3">
      <c r="B48">
        <v>9</v>
      </c>
      <c r="C48">
        <v>5.9200000000000003E-2</v>
      </c>
      <c r="D48">
        <v>5</v>
      </c>
      <c r="E48">
        <f t="shared" si="0"/>
        <v>1.1483516483516485</v>
      </c>
      <c r="F48">
        <f t="shared" si="2"/>
        <v>3.8516483516483513</v>
      </c>
      <c r="G48">
        <f t="shared" si="1"/>
        <v>77.032967032967036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2026-03-03T09:34:37Z</dcterms:created>
  <dcterms:modified xsi:type="dcterms:W3CDTF">2026-04-24T17:09:33Z</dcterms:modified>
</cp:coreProperties>
</file>