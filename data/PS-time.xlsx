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A7E25B90-5774-4DAA-9786-971250AC0883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1" l="1"/>
  <c r="E44" i="1"/>
  <c r="H44" i="1" s="1"/>
  <c r="E45" i="1"/>
  <c r="H45" i="1" s="1"/>
  <c r="E46" i="1"/>
  <c r="H46" i="1" s="1"/>
  <c r="E47" i="1"/>
  <c r="H47" i="1" s="1"/>
  <c r="E37" i="1"/>
  <c r="H37" i="1" s="1"/>
  <c r="E34" i="1"/>
  <c r="E35" i="1"/>
  <c r="E36" i="1"/>
  <c r="H36" i="1" s="1"/>
  <c r="E23" i="1"/>
  <c r="H23" i="1" s="1"/>
  <c r="E24" i="1"/>
  <c r="H24" i="1" s="1"/>
  <c r="E25" i="1"/>
  <c r="H25" i="1" s="1"/>
  <c r="E26" i="1"/>
  <c r="H26" i="1" s="1"/>
  <c r="E27" i="1"/>
  <c r="H27" i="1" s="1"/>
  <c r="E32" i="1"/>
  <c r="H32" i="1" s="1"/>
  <c r="E33" i="1"/>
  <c r="H33" i="1" s="1"/>
  <c r="E42" i="1"/>
  <c r="H42" i="1" s="1"/>
  <c r="E43" i="1"/>
  <c r="H43" i="1" s="1"/>
  <c r="E22" i="1"/>
  <c r="H22" i="1" s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H35" i="1" l="1"/>
  <c r="H34" i="1"/>
  <c r="F26" i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F34" i="1"/>
  <c r="G34" i="1" s="1"/>
  <c r="F35" i="1"/>
  <c r="G35" i="1" s="1"/>
  <c r="F36" i="1"/>
  <c r="G36" i="1" s="1"/>
  <c r="F37" i="1"/>
  <c r="G37" i="1" s="1"/>
  <c r="G33" i="1" l="1"/>
  <c r="O33" i="1"/>
  <c r="P33" i="1" s="1"/>
  <c r="Q33" i="1" s="1"/>
  <c r="J26" i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<sst xmlns="http://schemas.openxmlformats.org/spreadsheetml/2006/main" count="84" uniqueCount="24">
  <si>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</si>
  <si>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</si>
  <si>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</si>
  <si>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</si>
  <si>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</si>
  <si>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</si>
  <si>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</si>
  <si>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</si>
  <si>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</si>
  <si>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</si>
  <si>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GO-CO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</si>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</sst>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6502146892269"/>
          <c:y val="3.0008951754705464E-2"/>
          <c:w val="0.79373058015107101"/>
          <c:h val="0.75907252871983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70.681818181818159</c:v>
                </c:pt>
                <c:pt idx="1">
                  <c:v>80.227272727272734</c:v>
                </c:pt>
                <c:pt idx="2">
                  <c:v>80.909090909090907</c:v>
                </c:pt>
                <c:pt idx="3">
                  <c:v>84.77272727272728</c:v>
                </c:pt>
                <c:pt idx="4">
                  <c:v>88.181818181818187</c:v>
                </c:pt>
                <c:pt idx="5">
                  <c:v>96.136363636363612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70.999999999999972</c:v>
                </c:pt>
                <c:pt idx="1">
                  <c:v>76.409090909090907</c:v>
                </c:pt>
                <c:pt idx="2">
                  <c:v>77.22727272727272</c:v>
                </c:pt>
                <c:pt idx="3">
                  <c:v>80.227272727272734</c:v>
                </c:pt>
                <c:pt idx="4">
                  <c:v>86.590909090909093</c:v>
                </c:pt>
                <c:pt idx="5">
                  <c:v>93.409090909090907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73.181818181818159</c:v>
                </c:pt>
                <c:pt idx="1">
                  <c:v>78.636363636363626</c:v>
                </c:pt>
                <c:pt idx="2">
                  <c:v>80.681818181818159</c:v>
                </c:pt>
                <c:pt idx="3">
                  <c:v>83.863636363636346</c:v>
                </c:pt>
                <c:pt idx="4">
                  <c:v>84.318181818181813</c:v>
                </c:pt>
                <c:pt idx="5">
                  <c:v>92.5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  <c:max val="16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1.1746573795212819E-2"/>
              <c:y val="8.852514278765016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613267853900509"/>
          <c:y val="0.52126491311433587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0.68322981366459645</c:v>
                </c:pt>
                <c:pt idx="1">
                  <c:v>1.2716763005780349</c:v>
                </c:pt>
                <c:pt idx="2">
                  <c:v>3.7183098591549304</c:v>
                </c:pt>
                <c:pt idx="3">
                  <c:v>7.1544715447154488</c:v>
                </c:pt>
                <c:pt idx="4">
                  <c:v>21.347708894878707</c:v>
                </c:pt>
                <c:pt idx="5">
                  <c:v>155.67567567567568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0.70739549839228311</c:v>
                </c:pt>
                <c:pt idx="1">
                  <c:v>1.2464589235127477</c:v>
                </c:pt>
                <c:pt idx="2">
                  <c:v>3.7078651685393265</c:v>
                </c:pt>
                <c:pt idx="3">
                  <c:v>7.0777479892761388</c:v>
                </c:pt>
                <c:pt idx="4">
                  <c:v>20.412371134020617</c:v>
                </c:pt>
                <c:pt idx="5">
                  <c:v>149.78723404255322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0.28596624922810565</c:v>
                </c:pt>
                <c:pt idx="1">
                  <c:v>0.14187715852457999</c:v>
                </c:pt>
                <c:pt idx="2">
                  <c:v>7.2550667148612316E-2</c:v>
                </c:pt>
                <c:pt idx="3">
                  <c:v>-6.3669079869376546E-2</c:v>
                </c:pt>
                <c:pt idx="4">
                  <c:v>-8.7150175718900075E-2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0.20164536352806864</c:v>
                </c:pt>
                <c:pt idx="2">
                  <c:v>0.18262212621463869</c:v>
                </c:pt>
                <c:pt idx="3">
                  <c:v>5.5517327849830142E-2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0.23044892137827397</c:v>
                </c:pt>
                <c:pt idx="2">
                  <c:v>0.20902731715066916</c:v>
                </c:pt>
                <c:pt idx="3">
                  <c:v>0.11997531707674991</c:v>
                </c:pt>
                <c:pt idx="4">
                  <c:v>-0.16633142176652396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0.70422535211267623</c:v>
                </c:pt>
                <c:pt idx="1">
                  <c:v>1.3087447947650208</c:v>
                </c:pt>
                <c:pt idx="2">
                  <c:v>3.8846380223660977</c:v>
                </c:pt>
                <c:pt idx="3">
                  <c:v>7.4787535410764869</c:v>
                </c:pt>
                <c:pt idx="4">
                  <c:v>20.787401574803152</c:v>
                </c:pt>
                <c:pt idx="5">
                  <c:v>154.16058394160584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616627656188"/>
          <c:y val="6.8051060494254315E-2"/>
          <c:w val="0.83081021206504269"/>
          <c:h val="0.73069615699050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719383354493247E-3"/>
                  <c:y val="0.11800591040037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7.0999999999999979</c:v>
                </c:pt>
                <c:pt idx="1">
                  <c:v>7.6409090909090915</c:v>
                </c:pt>
                <c:pt idx="2">
                  <c:v>7.7227272727272727</c:v>
                </c:pt>
                <c:pt idx="3">
                  <c:v>8.0227272727272734</c:v>
                </c:pt>
                <c:pt idx="4">
                  <c:v>8.6590909090909083</c:v>
                </c:pt>
                <c:pt idx="5">
                  <c:v>9.3409090909090917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018834699408406E-2"/>
                  <c:y val="0.14690649328939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(Sheet1!$BM$29:$BM$34,Sheet1!$BM$38)</c:f>
              <c:numCache>
                <c:formatCode>General</c:formatCode>
                <c:ptCount val="7"/>
                <c:pt idx="0">
                  <c:v>7.3181818181818166</c:v>
                </c:pt>
                <c:pt idx="1">
                  <c:v>7.8636363636363624</c:v>
                </c:pt>
                <c:pt idx="2">
                  <c:v>8.0681818181818166</c:v>
                </c:pt>
                <c:pt idx="3">
                  <c:v>8.3863636363636349</c:v>
                </c:pt>
                <c:pt idx="4">
                  <c:v>8.4318181818181817</c:v>
                </c:pt>
                <c:pt idx="5">
                  <c:v>9.25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7-4727-83C8-BC3F59D7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0575"/>
        <c:axId val="1486195295"/>
      </c:scatterChart>
      <c:valAx>
        <c:axId val="148620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295"/>
        <c:crosses val="autoZero"/>
        <c:crossBetween val="midCat"/>
      </c:valAx>
      <c:valAx>
        <c:axId val="1486195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97767089781724"/>
          <c:y val="0.16518569018733403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7.0681818181818166</c:v>
                </c:pt>
                <c:pt idx="1">
                  <c:v>8.0227272727272734</c:v>
                </c:pt>
                <c:pt idx="2">
                  <c:v>8.0909090909090899</c:v>
                </c:pt>
                <c:pt idx="3">
                  <c:v>8.4772727272727284</c:v>
                </c:pt>
                <c:pt idx="4">
                  <c:v>8.8181818181818183</c:v>
                </c:pt>
                <c:pt idx="5">
                  <c:v>9.6136363636363615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-1.3288733077511832</c:v>
                </c:pt>
                <c:pt idx="1">
                  <c:v>-1.7988769369969202</c:v>
                </c:pt>
                <c:pt idx="2">
                  <c:v>-1.8426795596553125</c:v>
                </c:pt>
                <c:pt idx="3">
                  <c:v>-2.1353491736181343</c:v>
                </c:pt>
                <c:pt idx="4">
                  <c:v>-2.4920241175568667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-1.4275219528876435</c:v>
                </c:pt>
                <c:pt idx="1">
                  <c:v>-1.7037753295158029</c:v>
                </c:pt>
                <c:pt idx="2">
                  <c:v>-1.753100396078304</c:v>
                </c:pt>
                <c:pt idx="3">
                  <c:v>-1.9581502039498149</c:v>
                </c:pt>
                <c:pt idx="4">
                  <c:v>-2.6173958328340774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-1.5661619289522775</c:v>
                </c:pt>
                <c:pt idx="1">
                  <c:v>-1.8979393212692826</c:v>
                </c:pt>
                <c:pt idx="2">
                  <c:v>-2.0575694668611662</c:v>
                </c:pt>
                <c:pt idx="3">
                  <c:v>-2.371227025716208</c:v>
                </c:pt>
                <c:pt idx="4">
                  <c:v>-2.4252942469864842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299716092639667E-2"/>
                  <c:y val="0.17568675421476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7.0999999999999979</c:v>
                </c:pt>
                <c:pt idx="1">
                  <c:v>7.6409090909090915</c:v>
                </c:pt>
                <c:pt idx="2">
                  <c:v>7.7227272727272727</c:v>
                </c:pt>
                <c:pt idx="3">
                  <c:v>8.0227272727272734</c:v>
                </c:pt>
                <c:pt idx="4">
                  <c:v>8.6590909090909083</c:v>
                </c:pt>
                <c:pt idx="5">
                  <c:v>9.3409090909090917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7.3181818181818166</c:v>
                </c:pt>
                <c:pt idx="1">
                  <c:v>7.8636363636363624</c:v>
                </c:pt>
                <c:pt idx="2">
                  <c:v>8.0681818181818166</c:v>
                </c:pt>
                <c:pt idx="3">
                  <c:v>8.3863636363636349</c:v>
                </c:pt>
                <c:pt idx="4">
                  <c:v>8.4318181818181817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7.0681818181818166</c:v>
                </c:pt>
                <c:pt idx="1">
                  <c:v>8.0227272727272734</c:v>
                </c:pt>
                <c:pt idx="2">
                  <c:v>8.0909090909090899</c:v>
                </c:pt>
                <c:pt idx="3">
                  <c:v>8.4772727272727284</c:v>
                </c:pt>
                <c:pt idx="4">
                  <c:v>8.8181818181818183</c:v>
                </c:pt>
                <c:pt idx="5">
                  <c:v>9.6136363636363615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365449</xdr:colOff>
      <xdr:row>12</xdr:row>
      <xdr:rowOff>94084</xdr:rowOff>
    </xdr:from>
    <xdr:to>
      <xdr:col>73</xdr:col>
      <xdr:colOff>85531</xdr:colOff>
      <xdr:row>27</xdr:row>
      <xdr:rowOff>45876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552062</xdr:colOff>
      <xdr:row>27</xdr:row>
      <xdr:rowOff>62981</xdr:rowOff>
    </xdr:from>
    <xdr:to>
      <xdr:col>73</xdr:col>
      <xdr:colOff>272144</xdr:colOff>
      <xdr:row>40</xdr:row>
      <xdr:rowOff>162508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1DCB97-BDEF-B632-9716-28F3593E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600522</xdr:colOff>
      <xdr:row>45</xdr:row>
      <xdr:rowOff>33146</xdr:rowOff>
    </xdr:from>
    <xdr:to>
      <xdr:col>73</xdr:col>
      <xdr:colOff>320604</xdr:colOff>
      <xdr:row>60</xdr:row>
      <xdr:rowOff>93795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topLeftCell="K1" zoomScale="72" zoomScaleNormal="72" workbookViewId="0">
      <selection activeCell="AG23" sqref="AG23:AG56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20</v>
      </c>
      <c r="AB4" s="1" t="s">
        <v>22</v>
      </c>
      <c r="AC4" s="1" t="s">
        <v>23</v>
      </c>
    </row>
    <row r="5" spans="2:29" x14ac:dyDescent="0.25">
      <c r="B5" s="1">
        <v>1</v>
      </c>
      <c r="C5" s="1">
        <v>8.8319999999999996E-2</v>
      </c>
      <c r="Z5" s="1">
        <v>5</v>
      </c>
      <c r="AA5" s="1">
        <v>70.681818181818159</v>
      </c>
      <c r="AB5" s="1">
        <v>70.999999999999972</v>
      </c>
      <c r="AC5" s="1">
        <v>73.181818181818159</v>
      </c>
    </row>
    <row r="6" spans="2:29" x14ac:dyDescent="0.25">
      <c r="B6" s="1">
        <v>2</v>
      </c>
      <c r="C6" s="1">
        <v>9.6560000000000007E-2</v>
      </c>
      <c r="Z6" s="1">
        <v>10</v>
      </c>
      <c r="AA6" s="1">
        <v>80.227272727272734</v>
      </c>
      <c r="AB6" s="1">
        <v>76.409090909090907</v>
      </c>
      <c r="AC6" s="1">
        <v>78.636363636363626</v>
      </c>
    </row>
    <row r="7" spans="2:29" x14ac:dyDescent="0.25">
      <c r="B7" s="1">
        <v>5</v>
      </c>
      <c r="C7" s="1">
        <v>0.11438</v>
      </c>
      <c r="Z7" s="1">
        <v>30</v>
      </c>
      <c r="AA7" s="1">
        <v>80.909090909090907</v>
      </c>
      <c r="AB7" s="1">
        <v>77.22727272727272</v>
      </c>
      <c r="AC7" s="1">
        <v>80.681818181818159</v>
      </c>
    </row>
    <row r="8" spans="2:29" x14ac:dyDescent="0.25">
      <c r="B8" s="1">
        <v>10</v>
      </c>
      <c r="C8" s="1">
        <v>0.13367999999999999</v>
      </c>
      <c r="Z8" s="1">
        <v>60</v>
      </c>
      <c r="AA8" s="1">
        <v>84.77272727272728</v>
      </c>
      <c r="AB8" s="1">
        <v>80.227272727272734</v>
      </c>
      <c r="AC8" s="1">
        <v>83.863636363636346</v>
      </c>
    </row>
    <row r="9" spans="2:29" x14ac:dyDescent="0.25">
      <c r="B9" s="1">
        <v>20</v>
      </c>
      <c r="C9" s="1">
        <v>0.17385999999999999</v>
      </c>
      <c r="Z9" s="1">
        <v>180</v>
      </c>
      <c r="AA9" s="1">
        <v>88.181818181818187</v>
      </c>
      <c r="AB9" s="1">
        <v>86.590909090909093</v>
      </c>
      <c r="AC9" s="1">
        <v>84.318181818181813</v>
      </c>
    </row>
    <row r="10" spans="2:29" x14ac:dyDescent="0.25">
      <c r="Z10" s="1">
        <v>1440</v>
      </c>
      <c r="AA10" s="1">
        <v>96.136363636363612</v>
      </c>
      <c r="AB10" s="1">
        <v>93.409090909090907</v>
      </c>
      <c r="AC10" s="1">
        <v>92.5</v>
      </c>
    </row>
    <row r="13" spans="2:29" x14ac:dyDescent="0.25">
      <c r="C13" s="1">
        <v>9.4200000000000006E-2</v>
      </c>
      <c r="D13" s="1">
        <v>0.09</v>
      </c>
    </row>
    <row r="14" spans="2:29" x14ac:dyDescent="0.25">
      <c r="C14" s="1">
        <v>9.1700000000000004E-2</v>
      </c>
      <c r="D14" s="1">
        <v>9.6699999999999994E-2</v>
      </c>
    </row>
    <row r="15" spans="2:29" x14ac:dyDescent="0.25">
      <c r="C15" s="1">
        <v>9.6699999999999994E-2</v>
      </c>
      <c r="D15" s="1">
        <v>9.69E-2</v>
      </c>
    </row>
    <row r="16" spans="2:29" x14ac:dyDescent="0.25">
      <c r="C16" s="1">
        <v>9.69E-2</v>
      </c>
      <c r="D16" s="1">
        <v>9.4399999999999998E-2</v>
      </c>
    </row>
    <row r="17" spans="1:65" x14ac:dyDescent="0.25">
      <c r="C17" s="1">
        <v>9.4399999999999998E-2</v>
      </c>
      <c r="D17" s="1">
        <v>9.4200000000000006E-2</v>
      </c>
    </row>
    <row r="18" spans="1:65" x14ac:dyDescent="0.25">
      <c r="C18" s="1">
        <v>9.4E-2</v>
      </c>
      <c r="D18" s="1">
        <v>9.4E-2</v>
      </c>
      <c r="BL18" s="1" t="s">
        <v>15</v>
      </c>
      <c r="BM18" s="1" t="s">
        <v>21</v>
      </c>
    </row>
    <row r="19" spans="1:65" x14ac:dyDescent="0.25">
      <c r="AR19" s="1" t="s">
        <v>19</v>
      </c>
      <c r="AS19" s="1" t="s">
        <v>21</v>
      </c>
      <c r="BC19" s="1" t="s">
        <v>9</v>
      </c>
      <c r="BD19" s="1" t="s">
        <v>18</v>
      </c>
      <c r="BL19" s="1">
        <v>1.6094379124341003</v>
      </c>
      <c r="BM19" s="1">
        <v>7.0999999999999979</v>
      </c>
    </row>
    <row r="20" spans="1:65" ht="22.8" x14ac:dyDescent="0.4">
      <c r="A20" s="4" t="s">
        <v>7</v>
      </c>
      <c r="D20" s="1" t="s">
        <v>3</v>
      </c>
      <c r="AR20" s="1">
        <v>2.2360679774997898</v>
      </c>
      <c r="AS20" s="1">
        <v>7.0999999999999979</v>
      </c>
      <c r="BC20" s="1">
        <v>5</v>
      </c>
      <c r="BD20" s="1">
        <v>-1.4275219528876435</v>
      </c>
      <c r="BL20" s="1">
        <v>2.3025850929940459</v>
      </c>
      <c r="BM20" s="1">
        <v>7.6409090909090915</v>
      </c>
    </row>
    <row r="21" spans="1:65" x14ac:dyDescent="0.25">
      <c r="B21" s="1" t="s">
        <v>9</v>
      </c>
      <c r="C21" s="1" t="s">
        <v>10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21</v>
      </c>
      <c r="I21" s="1" t="s">
        <v>11</v>
      </c>
      <c r="J21" s="1" t="s">
        <v>12</v>
      </c>
      <c r="K21" s="1" t="s">
        <v>13</v>
      </c>
      <c r="L21" s="1" t="s">
        <v>14</v>
      </c>
      <c r="M21" s="1" t="s">
        <v>19</v>
      </c>
      <c r="N21" s="1" t="s">
        <v>15</v>
      </c>
      <c r="O21" s="1" t="s">
        <v>16</v>
      </c>
      <c r="P21" s="1" t="s">
        <v>17</v>
      </c>
      <c r="Q21" s="1" t="s">
        <v>18</v>
      </c>
      <c r="AR21" s="1">
        <v>3.1622776601683795</v>
      </c>
      <c r="AS21" s="1">
        <v>7.6409090909090915</v>
      </c>
      <c r="BC21" s="1">
        <v>10</v>
      </c>
      <c r="BD21" s="1">
        <v>-1.7037753295158029</v>
      </c>
      <c r="BL21" s="1">
        <v>3.4011973816621555</v>
      </c>
      <c r="BM21" s="1">
        <v>7.7227272727272727</v>
      </c>
    </row>
    <row r="22" spans="1:65" x14ac:dyDescent="0.25">
      <c r="B22" s="1">
        <v>5</v>
      </c>
      <c r="C22" s="1">
        <v>0.10086000000000001</v>
      </c>
      <c r="D22" s="1">
        <v>10</v>
      </c>
      <c r="E22" s="1">
        <f>(C22-0.0881)/0.0044</f>
        <v>2.9000000000000017</v>
      </c>
      <c r="F22" s="1">
        <f>D22-E22</f>
        <v>7.0999999999999979</v>
      </c>
      <c r="G22" s="1">
        <f>(F22*100)/D22</f>
        <v>70.999999999999972</v>
      </c>
      <c r="H22" s="1">
        <f>(D22-E22)*0.01/0.01</f>
        <v>7.0999999999999979</v>
      </c>
      <c r="I22" s="1">
        <v>9.3409090909090917</v>
      </c>
      <c r="J22" s="1">
        <v>4.4487912087912092</v>
      </c>
      <c r="K22" s="1">
        <f>LOG(J22)</f>
        <v>0.64824202386500485</v>
      </c>
      <c r="L22" s="1">
        <f>B22/H22</f>
        <v>0.70422535211267623</v>
      </c>
      <c r="M22" s="1">
        <f>SQRT(B22)</f>
        <v>2.2360679774997898</v>
      </c>
      <c r="N22" s="1">
        <f>LN(B22)</f>
        <v>1.6094379124341003</v>
      </c>
      <c r="O22" s="1">
        <f>H22/I22</f>
        <v>0.76009732360097293</v>
      </c>
      <c r="P22" s="1">
        <f>1-O22</f>
        <v>0.23990267639902707</v>
      </c>
      <c r="Q22" s="1">
        <f>LN(P22)</f>
        <v>-1.4275219528876435</v>
      </c>
      <c r="T22" s="1" t="s">
        <v>9</v>
      </c>
      <c r="U22" s="1" t="s">
        <v>13</v>
      </c>
      <c r="AF22" s="1" t="s">
        <v>9</v>
      </c>
      <c r="AG22" s="1" t="s">
        <v>14</v>
      </c>
      <c r="AR22" s="1">
        <v>5.4772255750516612</v>
      </c>
      <c r="AS22" s="1">
        <v>7.7227272727272727</v>
      </c>
      <c r="BC22" s="1">
        <v>30</v>
      </c>
      <c r="BD22" s="1">
        <v>-1.753100396078304</v>
      </c>
      <c r="BL22" s="1">
        <v>4.0943445622221004</v>
      </c>
      <c r="BM22" s="1">
        <v>8.0227272727272734</v>
      </c>
    </row>
    <row r="23" spans="1:65" x14ac:dyDescent="0.25">
      <c r="B23" s="1">
        <v>10</v>
      </c>
      <c r="C23" s="1">
        <v>9.8479999999999998E-2</v>
      </c>
      <c r="D23" s="1">
        <v>10</v>
      </c>
      <c r="E23" s="1">
        <f t="shared" ref="E23:E47" si="0">(C23-0.0881)/0.0044</f>
        <v>2.3590909090909089</v>
      </c>
      <c r="F23" s="1">
        <f t="shared" ref="F23:F37" si="1">D23-E23</f>
        <v>7.6409090909090907</v>
      </c>
      <c r="G23" s="1">
        <f t="shared" ref="G23:G27" si="2">(F23*100)/D23</f>
        <v>76.409090909090907</v>
      </c>
      <c r="H23" s="1">
        <f t="shared" ref="H23:H47" si="3">(D23-E23)*0.01/0.01</f>
        <v>7.6409090909090915</v>
      </c>
      <c r="I23" s="1">
        <v>9.3409090909090917</v>
      </c>
      <c r="J23" s="1">
        <f t="shared" ref="J23:J47" si="4">I23-H23</f>
        <v>1.7000000000000002</v>
      </c>
      <c r="K23" s="1">
        <f t="shared" ref="K23:K47" si="5">LOG(J23)</f>
        <v>0.23044892137827397</v>
      </c>
      <c r="L23" s="1">
        <f t="shared" ref="L23:L27" si="6">B23/H23</f>
        <v>1.3087447947650208</v>
      </c>
      <c r="M23" s="1">
        <f t="shared" ref="M23:M47" si="7">SQRT(B23)</f>
        <v>3.1622776601683795</v>
      </c>
      <c r="N23" s="1">
        <f t="shared" ref="N23:N47" si="8">LN(B23)</f>
        <v>2.3025850929940459</v>
      </c>
      <c r="O23" s="1">
        <f t="shared" ref="O23:O47" si="9">H23/I23</f>
        <v>0.81800486618004864</v>
      </c>
      <c r="P23" s="1">
        <f t="shared" ref="P23:P47" si="10">1-O23</f>
        <v>0.18199513381995136</v>
      </c>
      <c r="Q23" s="1">
        <f t="shared" ref="Q23:Q47" si="11">LN(P23)</f>
        <v>-1.7037753295158029</v>
      </c>
      <c r="T23" s="1">
        <v>5</v>
      </c>
      <c r="U23" s="1">
        <v>0.64824202386500485</v>
      </c>
      <c r="AF23" s="1">
        <v>5</v>
      </c>
      <c r="AG23" s="1">
        <v>0.70422535211267623</v>
      </c>
      <c r="AR23" s="1">
        <v>7.745966692414834</v>
      </c>
      <c r="AS23" s="1">
        <v>8.0227272727272734</v>
      </c>
      <c r="BC23" s="1">
        <v>60</v>
      </c>
      <c r="BD23" s="1">
        <v>-1.9581502039498149</v>
      </c>
      <c r="BL23" s="1">
        <v>5.1929568508902104</v>
      </c>
      <c r="BM23" s="1">
        <v>8.6590909090909083</v>
      </c>
    </row>
    <row r="24" spans="1:65" x14ac:dyDescent="0.25">
      <c r="B24" s="1">
        <v>30</v>
      </c>
      <c r="C24" s="1">
        <v>9.8119999999999999E-2</v>
      </c>
      <c r="D24" s="1">
        <v>10</v>
      </c>
      <c r="E24" s="1">
        <f t="shared" si="0"/>
        <v>2.2772727272727273</v>
      </c>
      <c r="F24" s="1">
        <f t="shared" si="1"/>
        <v>7.7227272727272727</v>
      </c>
      <c r="G24" s="1">
        <f t="shared" si="2"/>
        <v>77.22727272727272</v>
      </c>
      <c r="H24" s="1">
        <f t="shared" si="3"/>
        <v>7.7227272727272727</v>
      </c>
      <c r="I24" s="1">
        <v>9.3409090909090917</v>
      </c>
      <c r="J24" s="1">
        <f t="shared" si="4"/>
        <v>1.6181818181818191</v>
      </c>
      <c r="K24" s="1">
        <f t="shared" si="5"/>
        <v>0.20902731715066916</v>
      </c>
      <c r="L24" s="1">
        <f t="shared" si="6"/>
        <v>3.8846380223660977</v>
      </c>
      <c r="M24" s="1">
        <f t="shared" si="7"/>
        <v>5.4772255750516612</v>
      </c>
      <c r="N24" s="1">
        <f t="shared" si="8"/>
        <v>3.4011973816621555</v>
      </c>
      <c r="O24" s="1">
        <f t="shared" si="9"/>
        <v>0.8267639902676398</v>
      </c>
      <c r="P24" s="1">
        <f t="shared" si="10"/>
        <v>0.1732360097323602</v>
      </c>
      <c r="Q24" s="1">
        <f t="shared" si="11"/>
        <v>-1.753100396078304</v>
      </c>
      <c r="T24" s="1">
        <v>10</v>
      </c>
      <c r="U24" s="1">
        <v>0.23044892137827397</v>
      </c>
      <c r="AF24" s="1">
        <v>10</v>
      </c>
      <c r="AG24" s="1">
        <v>1.3087447947650208</v>
      </c>
      <c r="AR24" s="1">
        <v>13.416407864998739</v>
      </c>
      <c r="AS24" s="1">
        <v>8.6590909090909083</v>
      </c>
      <c r="BC24" s="1">
        <v>180</v>
      </c>
      <c r="BD24" s="1">
        <v>-2.6173958328340774</v>
      </c>
      <c r="BL24" s="1">
        <v>7.2723983925700466</v>
      </c>
      <c r="BM24" s="1">
        <v>9.3409090909090917</v>
      </c>
    </row>
    <row r="25" spans="1:65" x14ac:dyDescent="0.25">
      <c r="B25" s="1">
        <v>60</v>
      </c>
      <c r="C25" s="1">
        <v>9.6799999999999997E-2</v>
      </c>
      <c r="D25" s="1">
        <v>10</v>
      </c>
      <c r="E25" s="1">
        <f t="shared" si="0"/>
        <v>1.9772727272727271</v>
      </c>
      <c r="F25" s="1">
        <f t="shared" si="1"/>
        <v>8.0227272727272734</v>
      </c>
      <c r="G25" s="1">
        <f t="shared" si="2"/>
        <v>80.227272727272734</v>
      </c>
      <c r="H25" s="1">
        <f t="shared" si="3"/>
        <v>8.0227272727272734</v>
      </c>
      <c r="I25" s="1">
        <v>9.3409090909090917</v>
      </c>
      <c r="J25" s="1">
        <f t="shared" si="4"/>
        <v>1.3181818181818183</v>
      </c>
      <c r="K25" s="1">
        <f t="shared" si="5"/>
        <v>0.11997531707674991</v>
      </c>
      <c r="L25" s="1">
        <f t="shared" si="6"/>
        <v>7.4787535410764869</v>
      </c>
      <c r="M25" s="1">
        <f t="shared" si="7"/>
        <v>7.745966692414834</v>
      </c>
      <c r="N25" s="1">
        <f t="shared" si="8"/>
        <v>4.0943445622221004</v>
      </c>
      <c r="O25" s="1">
        <f t="shared" si="9"/>
        <v>0.85888077858880774</v>
      </c>
      <c r="P25" s="1">
        <f t="shared" si="10"/>
        <v>0.14111922141119226</v>
      </c>
      <c r="Q25" s="1">
        <f t="shared" si="11"/>
        <v>-1.9581502039498149</v>
      </c>
      <c r="T25" s="1">
        <v>30</v>
      </c>
      <c r="U25" s="1">
        <v>0.20902731715066916</v>
      </c>
      <c r="AF25" s="1">
        <v>30</v>
      </c>
      <c r="AG25" s="1">
        <v>3.8846380223660977</v>
      </c>
      <c r="AR25" s="1">
        <v>37.947331922020552</v>
      </c>
      <c r="AS25" s="1">
        <v>9.3409090909090917</v>
      </c>
    </row>
    <row r="26" spans="1:65" x14ac:dyDescent="0.25">
      <c r="B26" s="1">
        <v>180</v>
      </c>
      <c r="C26" s="1">
        <v>9.4E-2</v>
      </c>
      <c r="D26" s="1">
        <v>10</v>
      </c>
      <c r="E26" s="1">
        <f t="shared" si="0"/>
        <v>1.3409090909090915</v>
      </c>
      <c r="F26" s="1">
        <f t="shared" si="1"/>
        <v>8.6590909090909083</v>
      </c>
      <c r="G26" s="1">
        <f t="shared" si="2"/>
        <v>86.590909090909093</v>
      </c>
      <c r="H26" s="1">
        <f t="shared" si="3"/>
        <v>8.6590909090909083</v>
      </c>
      <c r="I26" s="1">
        <v>9.3409090909090917</v>
      </c>
      <c r="J26" s="1">
        <f t="shared" si="4"/>
        <v>0.68181818181818343</v>
      </c>
      <c r="K26" s="1">
        <f t="shared" si="5"/>
        <v>-0.16633142176652396</v>
      </c>
      <c r="L26" s="1">
        <f t="shared" si="6"/>
        <v>20.787401574803152</v>
      </c>
      <c r="M26" s="1">
        <f t="shared" si="7"/>
        <v>13.416407864998739</v>
      </c>
      <c r="N26" s="1">
        <f t="shared" si="8"/>
        <v>5.1929568508902104</v>
      </c>
      <c r="O26" s="1">
        <f t="shared" si="9"/>
        <v>0.92700729927007286</v>
      </c>
      <c r="P26" s="1">
        <f t="shared" si="10"/>
        <v>7.299270072992714E-2</v>
      </c>
      <c r="Q26" s="1">
        <f t="shared" si="11"/>
        <v>-2.6173958328340774</v>
      </c>
      <c r="T26" s="1">
        <v>60</v>
      </c>
      <c r="U26" s="1">
        <v>0.11997531707674991</v>
      </c>
      <c r="AF26" s="1">
        <v>60</v>
      </c>
      <c r="AG26" s="1">
        <v>7.4787535410764869</v>
      </c>
    </row>
    <row r="27" spans="1:65" x14ac:dyDescent="0.25">
      <c r="B27" s="1">
        <v>1440</v>
      </c>
      <c r="C27" s="5">
        <v>9.0999999999999998E-2</v>
      </c>
      <c r="D27" s="1">
        <v>10</v>
      </c>
      <c r="E27" s="1">
        <f t="shared" si="0"/>
        <v>0.65909090909090906</v>
      </c>
      <c r="F27" s="1">
        <f t="shared" si="1"/>
        <v>9.3409090909090917</v>
      </c>
      <c r="G27" s="1">
        <f t="shared" si="2"/>
        <v>93.409090909090907</v>
      </c>
      <c r="H27" s="1">
        <f t="shared" si="3"/>
        <v>9.3409090909090917</v>
      </c>
      <c r="I27" s="1">
        <v>9.3409090909090917</v>
      </c>
      <c r="J27" s="1">
        <f t="shared" si="4"/>
        <v>0</v>
      </c>
      <c r="K27" s="1" t="e">
        <f t="shared" si="5"/>
        <v>#NUM!</v>
      </c>
      <c r="L27" s="1">
        <f t="shared" si="6"/>
        <v>154.16058394160584</v>
      </c>
      <c r="M27" s="1">
        <f t="shared" si="7"/>
        <v>37.947331922020552</v>
      </c>
      <c r="N27" s="1">
        <f t="shared" si="8"/>
        <v>7.2723983925700466</v>
      </c>
      <c r="O27" s="1">
        <f t="shared" si="9"/>
        <v>1</v>
      </c>
      <c r="P27" s="1">
        <f t="shared" si="10"/>
        <v>0</v>
      </c>
      <c r="Q27" s="1" t="e">
        <f t="shared" si="11"/>
        <v>#NUM!</v>
      </c>
      <c r="T27" s="1">
        <v>180</v>
      </c>
      <c r="U27" s="1">
        <v>-0.16633142176652396</v>
      </c>
      <c r="AF27" s="1">
        <v>180</v>
      </c>
      <c r="AG27" s="1">
        <v>20.787401574803152</v>
      </c>
    </row>
    <row r="28" spans="1:65" x14ac:dyDescent="0.25">
      <c r="AF28" s="1">
        <v>1440</v>
      </c>
      <c r="AG28" s="1">
        <v>154.16058394160584</v>
      </c>
      <c r="BL28" s="1" t="s">
        <v>15</v>
      </c>
      <c r="BM28" s="1" t="s">
        <v>21</v>
      </c>
    </row>
    <row r="29" spans="1:65" x14ac:dyDescent="0.25">
      <c r="AR29" s="1" t="s">
        <v>19</v>
      </c>
      <c r="AS29" s="1" t="s">
        <v>21</v>
      </c>
      <c r="BC29" s="1" t="s">
        <v>9</v>
      </c>
      <c r="BD29" s="1" t="s">
        <v>18</v>
      </c>
      <c r="BL29" s="1">
        <v>1.6094379124341003</v>
      </c>
      <c r="BM29" s="1">
        <v>7.3181818181818166</v>
      </c>
    </row>
    <row r="30" spans="1:65" ht="25.2" x14ac:dyDescent="0.45">
      <c r="A30" s="2" t="s">
        <v>8</v>
      </c>
      <c r="AR30" s="1">
        <v>2.2360679774997898</v>
      </c>
      <c r="AS30" s="1">
        <v>7.3181818181818166</v>
      </c>
      <c r="BC30" s="1">
        <v>5</v>
      </c>
      <c r="BD30" s="1">
        <v>-1.5661619289522775</v>
      </c>
      <c r="BL30" s="1">
        <v>2.3025850929940459</v>
      </c>
      <c r="BM30" s="1">
        <v>7.8636363636363624</v>
      </c>
    </row>
    <row r="31" spans="1:65" x14ac:dyDescent="0.25">
      <c r="B31" s="1" t="s">
        <v>9</v>
      </c>
      <c r="C31" s="1" t="s">
        <v>7</v>
      </c>
      <c r="F31" s="1" t="s">
        <v>5</v>
      </c>
      <c r="G31" s="1" t="s">
        <v>6</v>
      </c>
      <c r="H31" s="1" t="s">
        <v>21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19</v>
      </c>
      <c r="N31" s="1" t="s">
        <v>15</v>
      </c>
      <c r="O31" s="1" t="s">
        <v>16</v>
      </c>
      <c r="P31" s="1" t="s">
        <v>17</v>
      </c>
      <c r="Q31" s="1" t="s">
        <v>18</v>
      </c>
      <c r="T31" s="1" t="s">
        <v>9</v>
      </c>
      <c r="U31" s="1" t="s">
        <v>13</v>
      </c>
      <c r="AR31" s="1">
        <v>3.1622776601683795</v>
      </c>
      <c r="AS31" s="1">
        <v>7.8636363636363624</v>
      </c>
      <c r="BC31" s="1">
        <v>10</v>
      </c>
      <c r="BD31" s="1">
        <v>-1.8979393212692826</v>
      </c>
      <c r="BL31" s="1">
        <v>3.4011973816621555</v>
      </c>
      <c r="BM31" s="1">
        <v>8.0681818181818166</v>
      </c>
    </row>
    <row r="32" spans="1:65" x14ac:dyDescent="0.25">
      <c r="B32" s="1">
        <v>5</v>
      </c>
      <c r="C32" s="1">
        <v>9.9900000000000003E-2</v>
      </c>
      <c r="D32" s="1">
        <v>10</v>
      </c>
      <c r="E32" s="1">
        <f t="shared" si="0"/>
        <v>2.681818181818183</v>
      </c>
      <c r="F32" s="1">
        <f t="shared" si="1"/>
        <v>7.3181818181818166</v>
      </c>
      <c r="G32" s="1">
        <f t="shared" ref="G32:G37" si="12">(F32*100)/D32</f>
        <v>73.181818181818159</v>
      </c>
      <c r="H32" s="1">
        <f t="shared" si="3"/>
        <v>7.3181818181818166</v>
      </c>
      <c r="I32" s="1">
        <v>9.25</v>
      </c>
      <c r="J32" s="1">
        <f>I32-H32</f>
        <v>1.9318181818181834</v>
      </c>
      <c r="K32" s="1">
        <f t="shared" si="5"/>
        <v>0.28596624922810565</v>
      </c>
      <c r="L32" s="1">
        <f t="shared" ref="L32:L47" si="13">B32/H32</f>
        <v>0.68322981366459645</v>
      </c>
      <c r="M32" s="1">
        <f t="shared" si="7"/>
        <v>2.2360679774997898</v>
      </c>
      <c r="N32" s="1">
        <f t="shared" si="8"/>
        <v>1.6094379124341003</v>
      </c>
      <c r="O32" s="1">
        <f>H32/I32</f>
        <v>0.79115479115479093</v>
      </c>
      <c r="P32" s="1">
        <f t="shared" si="10"/>
        <v>0.20884520884520907</v>
      </c>
      <c r="Q32" s="1">
        <f t="shared" si="11"/>
        <v>-1.5661619289522775</v>
      </c>
      <c r="T32" s="1">
        <v>5</v>
      </c>
      <c r="U32" s="1">
        <v>0.28596624922810565</v>
      </c>
      <c r="AR32" s="1">
        <v>5.4772255750516612</v>
      </c>
      <c r="AS32" s="1">
        <v>8.0681818181818166</v>
      </c>
      <c r="BC32" s="1">
        <v>30</v>
      </c>
      <c r="BD32" s="1">
        <v>-2.0575694668611662</v>
      </c>
      <c r="BL32" s="1">
        <v>4.0943445622221004</v>
      </c>
      <c r="BM32" s="1">
        <v>8.3863636363636349</v>
      </c>
    </row>
    <row r="33" spans="1:65" x14ac:dyDescent="0.25">
      <c r="B33" s="1">
        <v>10</v>
      </c>
      <c r="C33" s="1">
        <v>9.7500000000000003E-2</v>
      </c>
      <c r="D33" s="1">
        <v>10</v>
      </c>
      <c r="E33" s="1">
        <f t="shared" si="0"/>
        <v>2.1363636363636376</v>
      </c>
      <c r="F33" s="1">
        <f t="shared" si="1"/>
        <v>7.8636363636363624</v>
      </c>
      <c r="G33" s="1">
        <f t="shared" si="12"/>
        <v>78.636363636363626</v>
      </c>
      <c r="H33" s="1">
        <f t="shared" si="3"/>
        <v>7.8636363636363624</v>
      </c>
      <c r="I33" s="1">
        <v>9.25</v>
      </c>
      <c r="J33" s="1">
        <f t="shared" si="4"/>
        <v>1.3863636363636376</v>
      </c>
      <c r="K33" s="1">
        <f t="shared" si="5"/>
        <v>0.14187715852457999</v>
      </c>
      <c r="L33" s="1">
        <f t="shared" si="13"/>
        <v>1.2716763005780349</v>
      </c>
      <c r="M33" s="1">
        <f t="shared" si="7"/>
        <v>3.1622776601683795</v>
      </c>
      <c r="N33" s="1">
        <f t="shared" si="8"/>
        <v>2.3025850929940459</v>
      </c>
      <c r="O33" s="1">
        <f t="shared" si="9"/>
        <v>0.85012285012284994</v>
      </c>
      <c r="P33" s="1">
        <f t="shared" si="10"/>
        <v>0.14987714987715006</v>
      </c>
      <c r="Q33" s="1">
        <f t="shared" si="11"/>
        <v>-1.8979393212692826</v>
      </c>
      <c r="T33" s="1">
        <v>10</v>
      </c>
      <c r="U33" s="1">
        <v>0.14187715852457999</v>
      </c>
      <c r="AR33" s="1">
        <v>7.745966692414834</v>
      </c>
      <c r="AS33" s="1">
        <v>8.3863636363636349</v>
      </c>
      <c r="BC33" s="1">
        <v>60</v>
      </c>
      <c r="BD33" s="1">
        <v>-2.371227025716208</v>
      </c>
      <c r="BL33" s="1">
        <v>5.1929568508902104</v>
      </c>
      <c r="BM33" s="1">
        <v>8.4318181818181817</v>
      </c>
    </row>
    <row r="34" spans="1:65" x14ac:dyDescent="0.25">
      <c r="B34" s="1">
        <v>30</v>
      </c>
      <c r="C34" s="1">
        <v>9.6600000000000005E-2</v>
      </c>
      <c r="D34" s="1">
        <v>10</v>
      </c>
      <c r="E34" s="1">
        <f>(C34-0.0881)/0.0044</f>
        <v>1.9318181818181834</v>
      </c>
      <c r="F34" s="1">
        <f t="shared" si="1"/>
        <v>8.0681818181818166</v>
      </c>
      <c r="G34" s="1">
        <f t="shared" si="12"/>
        <v>80.681818181818159</v>
      </c>
      <c r="H34" s="1">
        <f t="shared" si="3"/>
        <v>8.0681818181818166</v>
      </c>
      <c r="I34" s="1">
        <v>9.25</v>
      </c>
      <c r="J34" s="1">
        <f t="shared" si="4"/>
        <v>1.1818181818181834</v>
      </c>
      <c r="K34" s="1">
        <f t="shared" si="5"/>
        <v>7.2550667148612316E-2</v>
      </c>
      <c r="L34" s="1">
        <f t="shared" si="13"/>
        <v>3.7183098591549304</v>
      </c>
      <c r="M34" s="1">
        <f t="shared" si="7"/>
        <v>5.4772255750516612</v>
      </c>
      <c r="N34" s="1">
        <f t="shared" si="8"/>
        <v>3.4011973816621555</v>
      </c>
      <c r="O34" s="1">
        <f t="shared" si="9"/>
        <v>0.87223587223587207</v>
      </c>
      <c r="P34" s="1">
        <f t="shared" si="10"/>
        <v>0.12776412776412793</v>
      </c>
      <c r="Q34" s="1">
        <f t="shared" si="11"/>
        <v>-2.0575694668611662</v>
      </c>
      <c r="T34" s="1">
        <v>30</v>
      </c>
      <c r="U34" s="1">
        <v>7.2550667148612316E-2</v>
      </c>
      <c r="AR34" s="1">
        <v>13.416407864998739</v>
      </c>
      <c r="AS34" s="1">
        <v>8.4318181818181817</v>
      </c>
      <c r="BC34" s="1">
        <v>180</v>
      </c>
      <c r="BD34" s="1">
        <v>-2.4252942469864842</v>
      </c>
      <c r="BL34" s="1">
        <v>7.2723983925700466</v>
      </c>
      <c r="BM34" s="1">
        <v>9.25</v>
      </c>
    </row>
    <row r="35" spans="1:65" x14ac:dyDescent="0.25">
      <c r="B35" s="1">
        <v>60</v>
      </c>
      <c r="C35" s="1">
        <v>9.5200000000000007E-2</v>
      </c>
      <c r="D35" s="1">
        <v>10</v>
      </c>
      <c r="E35" s="1">
        <f>(C35-0.0881)/0.0044</f>
        <v>1.6136363636363655</v>
      </c>
      <c r="F35" s="1">
        <f t="shared" si="1"/>
        <v>8.3863636363636349</v>
      </c>
      <c r="G35" s="1">
        <f t="shared" si="12"/>
        <v>83.863636363636346</v>
      </c>
      <c r="H35" s="1">
        <f t="shared" si="3"/>
        <v>8.3863636363636349</v>
      </c>
      <c r="I35" s="1">
        <v>9.25</v>
      </c>
      <c r="J35" s="1">
        <f t="shared" si="4"/>
        <v>0.86363636363636509</v>
      </c>
      <c r="K35" s="1">
        <f t="shared" si="5"/>
        <v>-6.3669079869376546E-2</v>
      </c>
      <c r="L35" s="1">
        <f t="shared" si="13"/>
        <v>7.1544715447154488</v>
      </c>
      <c r="M35" s="1">
        <f t="shared" si="7"/>
        <v>7.745966692414834</v>
      </c>
      <c r="N35" s="1">
        <f t="shared" si="8"/>
        <v>4.0943445622221004</v>
      </c>
      <c r="O35" s="1">
        <f t="shared" si="9"/>
        <v>0.90663390663390653</v>
      </c>
      <c r="P35" s="1">
        <f t="shared" si="10"/>
        <v>9.3366093366093472E-2</v>
      </c>
      <c r="Q35" s="1">
        <f t="shared" si="11"/>
        <v>-2.371227025716208</v>
      </c>
      <c r="T35" s="1">
        <v>60</v>
      </c>
      <c r="U35" s="1">
        <v>-6.3669079869376546E-2</v>
      </c>
      <c r="AR35" s="1">
        <v>37.947331922020552</v>
      </c>
      <c r="AS35" s="1">
        <v>9.25</v>
      </c>
    </row>
    <row r="36" spans="1:65" x14ac:dyDescent="0.25">
      <c r="B36" s="1">
        <v>180</v>
      </c>
      <c r="C36" s="1">
        <v>9.5000000000000001E-2</v>
      </c>
      <c r="D36" s="1">
        <v>10</v>
      </c>
      <c r="E36" s="1">
        <f>(C36-0.0881)/0.0044</f>
        <v>1.5681818181818188</v>
      </c>
      <c r="F36" s="1">
        <f t="shared" si="1"/>
        <v>8.4318181818181817</v>
      </c>
      <c r="G36" s="1">
        <f t="shared" si="12"/>
        <v>84.318181818181813</v>
      </c>
      <c r="H36" s="1">
        <f t="shared" si="3"/>
        <v>8.4318181818181817</v>
      </c>
      <c r="I36" s="1">
        <v>9.25</v>
      </c>
      <c r="J36" s="1">
        <f t="shared" si="4"/>
        <v>0.81818181818181834</v>
      </c>
      <c r="K36" s="1">
        <f t="shared" si="5"/>
        <v>-8.7150175718900075E-2</v>
      </c>
      <c r="L36" s="1">
        <f t="shared" si="13"/>
        <v>21.347708894878707</v>
      </c>
      <c r="M36" s="1">
        <f t="shared" si="7"/>
        <v>13.416407864998739</v>
      </c>
      <c r="N36" s="1">
        <f t="shared" si="8"/>
        <v>5.1929568508902104</v>
      </c>
      <c r="O36" s="1">
        <f t="shared" si="9"/>
        <v>0.91154791154791148</v>
      </c>
      <c r="P36" s="1">
        <f t="shared" si="10"/>
        <v>8.8452088452088518E-2</v>
      </c>
      <c r="Q36" s="1">
        <f t="shared" si="11"/>
        <v>-2.4252942469864842</v>
      </c>
      <c r="T36" s="1">
        <v>180</v>
      </c>
      <c r="U36" s="1">
        <v>-8.7150175718900075E-2</v>
      </c>
      <c r="AF36" s="1" t="s">
        <v>9</v>
      </c>
      <c r="AG36" s="1" t="s">
        <v>14</v>
      </c>
    </row>
    <row r="37" spans="1:65" x14ac:dyDescent="0.25">
      <c r="B37" s="1">
        <v>1440</v>
      </c>
      <c r="C37" s="1">
        <v>9.1399999999999995E-2</v>
      </c>
      <c r="D37" s="1">
        <v>10</v>
      </c>
      <c r="E37" s="1">
        <f>(C37-0.0881)/0.0044</f>
        <v>0.74999999999999933</v>
      </c>
      <c r="F37" s="1">
        <f t="shared" si="1"/>
        <v>9.25</v>
      </c>
      <c r="G37" s="1">
        <f t="shared" si="12"/>
        <v>92.5</v>
      </c>
      <c r="H37" s="1">
        <f t="shared" si="3"/>
        <v>9.25</v>
      </c>
      <c r="I37" s="1">
        <v>9.25</v>
      </c>
      <c r="J37" s="1">
        <f t="shared" si="4"/>
        <v>0</v>
      </c>
      <c r="K37" s="1" t="e">
        <f t="shared" si="5"/>
        <v>#NUM!</v>
      </c>
      <c r="L37" s="1">
        <f t="shared" si="13"/>
        <v>155.67567567567568</v>
      </c>
      <c r="M37" s="1">
        <f t="shared" si="7"/>
        <v>37.947331922020552</v>
      </c>
      <c r="N37" s="1">
        <f t="shared" si="8"/>
        <v>7.2723983925700466</v>
      </c>
      <c r="O37" s="1">
        <f t="shared" si="9"/>
        <v>1</v>
      </c>
      <c r="P37" s="1">
        <f t="shared" si="10"/>
        <v>0</v>
      </c>
      <c r="Q37" s="1" t="e">
        <f t="shared" si="11"/>
        <v>#NUM!</v>
      </c>
      <c r="AF37" s="1">
        <v>5</v>
      </c>
      <c r="AG37" s="1">
        <v>0.68322981366459645</v>
      </c>
    </row>
    <row r="38" spans="1:65" x14ac:dyDescent="0.25">
      <c r="AF38" s="1">
        <v>10</v>
      </c>
      <c r="AG38" s="1">
        <v>1.2716763005780349</v>
      </c>
      <c r="BL38" s="1" t="s">
        <v>15</v>
      </c>
      <c r="BM38" s="1" t="s">
        <v>21</v>
      </c>
    </row>
    <row r="39" spans="1:65" x14ac:dyDescent="0.25">
      <c r="AF39" s="1">
        <v>30</v>
      </c>
      <c r="AG39" s="1">
        <v>3.7183098591549304</v>
      </c>
      <c r="AR39" s="1" t="s">
        <v>19</v>
      </c>
      <c r="AS39" s="1" t="s">
        <v>21</v>
      </c>
      <c r="BL39" s="1">
        <v>1.6094379124341003</v>
      </c>
      <c r="BM39" s="1">
        <v>7.0681818181818166</v>
      </c>
    </row>
    <row r="40" spans="1:65" ht="28.2" x14ac:dyDescent="0.5">
      <c r="A40" s="3" t="s">
        <v>20</v>
      </c>
      <c r="AF40" s="1">
        <v>60</v>
      </c>
      <c r="AG40" s="1">
        <v>7.1544715447154488</v>
      </c>
      <c r="AR40" s="1">
        <v>2.2360679774997898</v>
      </c>
      <c r="AS40" s="1">
        <v>7.0681818181818166</v>
      </c>
      <c r="BL40" s="1">
        <v>2.3025850929940459</v>
      </c>
      <c r="BM40" s="1">
        <v>8.0227272727272734</v>
      </c>
    </row>
    <row r="41" spans="1:65" x14ac:dyDescent="0.25">
      <c r="B41" s="1" t="s">
        <v>9</v>
      </c>
      <c r="C41" s="1" t="s">
        <v>8</v>
      </c>
      <c r="F41" s="1" t="s">
        <v>5</v>
      </c>
      <c r="G41" s="1" t="s">
        <v>6</v>
      </c>
      <c r="H41" s="1" t="s">
        <v>21</v>
      </c>
      <c r="I41" s="1" t="s">
        <v>11</v>
      </c>
      <c r="J41" s="1" t="s">
        <v>12</v>
      </c>
      <c r="K41" s="1" t="s">
        <v>13</v>
      </c>
      <c r="L41" s="1" t="s">
        <v>14</v>
      </c>
      <c r="M41" s="1" t="s">
        <v>19</v>
      </c>
      <c r="N41" s="1" t="s">
        <v>15</v>
      </c>
      <c r="O41" s="1" t="s">
        <v>16</v>
      </c>
      <c r="P41" s="1" t="s">
        <v>17</v>
      </c>
      <c r="Q41" s="1" t="s">
        <v>18</v>
      </c>
      <c r="AF41" s="1">
        <v>180</v>
      </c>
      <c r="AG41" s="1">
        <v>21.347708894878707</v>
      </c>
      <c r="AR41" s="1">
        <v>3.1622776601683795</v>
      </c>
      <c r="AS41" s="1">
        <v>8.0227272727272734</v>
      </c>
      <c r="BL41" s="1">
        <v>3.4011973816621555</v>
      </c>
      <c r="BM41" s="1">
        <v>8.0909090909090899</v>
      </c>
    </row>
    <row r="42" spans="1:65" x14ac:dyDescent="0.25">
      <c r="B42" s="1">
        <v>5</v>
      </c>
      <c r="C42" s="1">
        <v>0.10100000000000001</v>
      </c>
      <c r="D42" s="1">
        <v>10</v>
      </c>
      <c r="E42" s="1">
        <f t="shared" si="0"/>
        <v>2.9318181818181834</v>
      </c>
      <c r="F42" s="1">
        <f t="shared" ref="F42:F47" si="14">D42-E42</f>
        <v>7.0681818181818166</v>
      </c>
      <c r="G42" s="1">
        <f t="shared" ref="G42:G47" si="15">(F42*100)/D42</f>
        <v>70.681818181818159</v>
      </c>
      <c r="H42" s="1">
        <f t="shared" si="3"/>
        <v>7.0681818181818166</v>
      </c>
      <c r="I42" s="1">
        <v>9.6136363636363615</v>
      </c>
      <c r="J42" s="1">
        <v>4.4357142857142868</v>
      </c>
      <c r="K42" s="1">
        <f>LOG(J42)</f>
        <v>0.64696356449834225</v>
      </c>
      <c r="L42" s="1">
        <f>B42/H42</f>
        <v>0.70739549839228311</v>
      </c>
      <c r="M42" s="1">
        <f t="shared" si="7"/>
        <v>2.2360679774997898</v>
      </c>
      <c r="N42" s="1">
        <f t="shared" si="8"/>
        <v>1.6094379124341003</v>
      </c>
      <c r="O42" s="1">
        <f t="shared" si="9"/>
        <v>0.73522458628841603</v>
      </c>
      <c r="P42" s="1">
        <f t="shared" si="10"/>
        <v>0.26477541371158397</v>
      </c>
      <c r="Q42" s="1">
        <f t="shared" si="11"/>
        <v>-1.3288733077511832</v>
      </c>
      <c r="AF42" s="1">
        <v>1440</v>
      </c>
      <c r="AG42" s="1">
        <v>155.67567567567568</v>
      </c>
      <c r="AR42" s="1">
        <v>5.4772255750516612</v>
      </c>
      <c r="AS42" s="1">
        <v>8.0909090909090899</v>
      </c>
      <c r="BL42" s="1">
        <v>4.0943445622221004</v>
      </c>
      <c r="BM42" s="1">
        <v>8.4772727272727284</v>
      </c>
    </row>
    <row r="43" spans="1:65" x14ac:dyDescent="0.25">
      <c r="B43" s="1">
        <v>10</v>
      </c>
      <c r="C43" s="1">
        <v>9.6799999999999997E-2</v>
      </c>
      <c r="D43" s="1">
        <v>10</v>
      </c>
      <c r="E43" s="1">
        <f t="shared" si="0"/>
        <v>1.9772727272727271</v>
      </c>
      <c r="F43" s="1">
        <f t="shared" si="14"/>
        <v>8.0227272727272734</v>
      </c>
      <c r="G43" s="1">
        <f t="shared" si="15"/>
        <v>80.227272727272734</v>
      </c>
      <c r="H43" s="1">
        <f t="shared" si="3"/>
        <v>8.0227272727272734</v>
      </c>
      <c r="I43" s="1">
        <v>9.6136363636363615</v>
      </c>
      <c r="J43" s="1">
        <f t="shared" si="4"/>
        <v>1.5909090909090882</v>
      </c>
      <c r="K43" s="1">
        <f t="shared" ref="K43:K46" si="16">LOG(J43)</f>
        <v>0.20164536352806864</v>
      </c>
      <c r="L43" s="1">
        <f t="shared" si="13"/>
        <v>1.2464589235127477</v>
      </c>
      <c r="M43" s="1">
        <f t="shared" si="7"/>
        <v>3.1622776601683795</v>
      </c>
      <c r="N43" s="1">
        <f t="shared" si="8"/>
        <v>2.3025850929940459</v>
      </c>
      <c r="O43" s="1">
        <f t="shared" si="9"/>
        <v>0.83451536643026025</v>
      </c>
      <c r="P43" s="1">
        <f t="shared" si="10"/>
        <v>0.16548463356973975</v>
      </c>
      <c r="Q43" s="1">
        <f t="shared" si="11"/>
        <v>-1.7988769369969202</v>
      </c>
      <c r="AR43" s="1">
        <v>7.745966692414834</v>
      </c>
      <c r="AS43" s="1">
        <v>8.4772727272727284</v>
      </c>
      <c r="BL43" s="1">
        <v>5.1929568508902104</v>
      </c>
      <c r="BM43" s="1">
        <v>8.8181818181818183</v>
      </c>
    </row>
    <row r="44" spans="1:65" x14ac:dyDescent="0.25">
      <c r="B44" s="1">
        <v>30</v>
      </c>
      <c r="C44" s="1">
        <v>9.6500000000000002E-2</v>
      </c>
      <c r="D44" s="1">
        <v>10</v>
      </c>
      <c r="E44" s="1">
        <f t="shared" si="0"/>
        <v>1.9090909090909101</v>
      </c>
      <c r="F44" s="1">
        <f t="shared" si="14"/>
        <v>8.0909090909090899</v>
      </c>
      <c r="G44" s="1">
        <f t="shared" si="15"/>
        <v>80.909090909090907</v>
      </c>
      <c r="H44" s="1">
        <f t="shared" si="3"/>
        <v>8.0909090909090899</v>
      </c>
      <c r="I44" s="1">
        <v>9.6136363636363615</v>
      </c>
      <c r="J44" s="1">
        <f t="shared" si="4"/>
        <v>1.5227272727272716</v>
      </c>
      <c r="K44" s="1">
        <f t="shared" si="16"/>
        <v>0.18262212621463869</v>
      </c>
      <c r="L44" s="1">
        <f t="shared" si="13"/>
        <v>3.7078651685393265</v>
      </c>
      <c r="M44" s="1">
        <f t="shared" si="7"/>
        <v>5.4772255750516612</v>
      </c>
      <c r="N44" s="1">
        <f t="shared" si="8"/>
        <v>3.4011973816621555</v>
      </c>
      <c r="O44" s="1">
        <f t="shared" si="9"/>
        <v>0.84160756501182044</v>
      </c>
      <c r="P44" s="1">
        <f t="shared" si="10"/>
        <v>0.15839243498817956</v>
      </c>
      <c r="Q44" s="1">
        <f t="shared" si="11"/>
        <v>-1.8426795596553125</v>
      </c>
      <c r="AR44" s="1">
        <v>13.416407864998739</v>
      </c>
      <c r="AS44" s="1">
        <v>8.8181818181818183</v>
      </c>
      <c r="BL44" s="1">
        <v>7.2723983925700466</v>
      </c>
      <c r="BM44" s="1">
        <v>9.6136363636363615</v>
      </c>
    </row>
    <row r="45" spans="1:65" x14ac:dyDescent="0.25">
      <c r="B45" s="1">
        <v>60</v>
      </c>
      <c r="C45" s="5">
        <v>9.4799999999999995E-2</v>
      </c>
      <c r="D45" s="1">
        <v>10</v>
      </c>
      <c r="E45" s="1">
        <f>(C45-0.0881)/0.0044</f>
        <v>1.522727272727272</v>
      </c>
      <c r="F45" s="1">
        <f t="shared" si="14"/>
        <v>8.4772727272727284</v>
      </c>
      <c r="G45" s="1">
        <f t="shared" si="15"/>
        <v>84.77272727272728</v>
      </c>
      <c r="H45" s="1">
        <f t="shared" si="3"/>
        <v>8.4772727272727284</v>
      </c>
      <c r="I45" s="1">
        <v>9.6136363636363615</v>
      </c>
      <c r="J45" s="1">
        <f t="shared" si="4"/>
        <v>1.1363636363636331</v>
      </c>
      <c r="K45" s="1">
        <f t="shared" si="16"/>
        <v>5.5517327849830142E-2</v>
      </c>
      <c r="L45" s="1">
        <f t="shared" si="13"/>
        <v>7.0777479892761388</v>
      </c>
      <c r="M45" s="1">
        <f t="shared" si="7"/>
        <v>7.745966692414834</v>
      </c>
      <c r="N45" s="1">
        <f t="shared" si="8"/>
        <v>4.0943445622221004</v>
      </c>
      <c r="O45" s="1">
        <f t="shared" si="9"/>
        <v>0.88179669030732888</v>
      </c>
      <c r="P45" s="1">
        <f t="shared" si="10"/>
        <v>0.11820330969267112</v>
      </c>
      <c r="Q45" s="1">
        <f t="shared" si="11"/>
        <v>-2.1353491736181343</v>
      </c>
      <c r="AR45" s="1">
        <v>37.947331922020552</v>
      </c>
      <c r="AS45" s="1">
        <v>9.6136363636363615</v>
      </c>
    </row>
    <row r="46" spans="1:65" x14ac:dyDescent="0.25">
      <c r="B46" s="1">
        <v>180</v>
      </c>
      <c r="C46" s="5">
        <v>9.3299999999999994E-2</v>
      </c>
      <c r="D46" s="1">
        <v>10</v>
      </c>
      <c r="E46" s="1">
        <f>(C46-0.0881)/0.0044</f>
        <v>1.181818181818181</v>
      </c>
      <c r="F46" s="1">
        <f t="shared" si="14"/>
        <v>8.8181818181818183</v>
      </c>
      <c r="G46" s="1">
        <f t="shared" si="15"/>
        <v>88.181818181818187</v>
      </c>
      <c r="H46" s="1">
        <f t="shared" si="3"/>
        <v>8.8181818181818183</v>
      </c>
      <c r="I46" s="1">
        <v>9.6136363636363615</v>
      </c>
      <c r="J46" s="1">
        <f t="shared" si="4"/>
        <v>0.79545454545454319</v>
      </c>
      <c r="K46" s="1">
        <f t="shared" si="16"/>
        <v>-9.9384632135913031E-2</v>
      </c>
      <c r="L46" s="1">
        <f t="shared" si="13"/>
        <v>20.412371134020617</v>
      </c>
      <c r="M46" s="1">
        <f t="shared" si="7"/>
        <v>13.416407864998739</v>
      </c>
      <c r="N46" s="1">
        <f t="shared" si="8"/>
        <v>5.1929568508902104</v>
      </c>
      <c r="O46" s="1">
        <f t="shared" si="9"/>
        <v>0.91725768321513024</v>
      </c>
      <c r="P46" s="1">
        <f t="shared" si="10"/>
        <v>8.2742316784869763E-2</v>
      </c>
      <c r="Q46" s="1">
        <f t="shared" si="11"/>
        <v>-2.4920241175568667</v>
      </c>
    </row>
    <row r="47" spans="1:65" x14ac:dyDescent="0.25">
      <c r="B47" s="1">
        <v>1440</v>
      </c>
      <c r="C47" s="1">
        <v>8.9800000000000005E-2</v>
      </c>
      <c r="D47" s="1">
        <v>10</v>
      </c>
      <c r="E47" s="1">
        <f t="shared" si="0"/>
        <v>0.38636363636363796</v>
      </c>
      <c r="F47" s="1">
        <f t="shared" si="14"/>
        <v>9.6136363636363615</v>
      </c>
      <c r="G47" s="1">
        <f t="shared" si="15"/>
        <v>96.136363636363612</v>
      </c>
      <c r="H47" s="1">
        <f t="shared" si="3"/>
        <v>9.6136363636363615</v>
      </c>
      <c r="I47" s="1">
        <v>9.6136363636363615</v>
      </c>
      <c r="J47" s="1">
        <f t="shared" si="4"/>
        <v>0</v>
      </c>
      <c r="K47" s="1" t="e">
        <f t="shared" si="5"/>
        <v>#NUM!</v>
      </c>
      <c r="L47" s="1">
        <f t="shared" si="13"/>
        <v>149.78723404255322</v>
      </c>
      <c r="M47" s="1">
        <f t="shared" si="7"/>
        <v>37.947331922020552</v>
      </c>
      <c r="N47" s="1">
        <f t="shared" si="8"/>
        <v>7.2723983925700466</v>
      </c>
      <c r="O47" s="1">
        <f t="shared" si="9"/>
        <v>1</v>
      </c>
      <c r="P47" s="1">
        <f t="shared" si="10"/>
        <v>0</v>
      </c>
      <c r="Q47" s="1" t="e">
        <f t="shared" si="11"/>
        <v>#NUM!</v>
      </c>
      <c r="BC47" s="1" t="s">
        <v>9</v>
      </c>
      <c r="BD47" s="1" t="s">
        <v>18</v>
      </c>
    </row>
    <row r="48" spans="1:65" x14ac:dyDescent="0.25">
      <c r="BC48" s="1">
        <v>5</v>
      </c>
      <c r="BD48" s="1">
        <v>-1.3288733077511832</v>
      </c>
    </row>
    <row r="49" spans="20:56" x14ac:dyDescent="0.25">
      <c r="BC49" s="1">
        <v>10</v>
      </c>
      <c r="BD49" s="1">
        <v>-1.7988769369969202</v>
      </c>
    </row>
    <row r="50" spans="20:56" x14ac:dyDescent="0.25">
      <c r="AF50" s="1" t="s">
        <v>9</v>
      </c>
      <c r="AG50" s="1" t="s">
        <v>14</v>
      </c>
      <c r="BC50" s="1">
        <v>30</v>
      </c>
      <c r="BD50" s="1">
        <v>-1.8426795596553125</v>
      </c>
    </row>
    <row r="51" spans="20:56" x14ac:dyDescent="0.25">
      <c r="AF51" s="1">
        <v>5</v>
      </c>
      <c r="AG51" s="1">
        <v>0.70739549839228311</v>
      </c>
      <c r="BC51" s="1">
        <v>60</v>
      </c>
      <c r="BD51" s="1">
        <v>-2.1353491736181343</v>
      </c>
    </row>
    <row r="52" spans="20:56" x14ac:dyDescent="0.25">
      <c r="AF52" s="1">
        <v>10</v>
      </c>
      <c r="AG52" s="1">
        <v>1.2464589235127477</v>
      </c>
      <c r="BC52" s="1">
        <v>180</v>
      </c>
      <c r="BD52" s="1">
        <v>-2.4920241175568667</v>
      </c>
    </row>
    <row r="53" spans="20:56" x14ac:dyDescent="0.25">
      <c r="T53" s="1" t="s">
        <v>9</v>
      </c>
      <c r="U53" s="1" t="s">
        <v>13</v>
      </c>
      <c r="AF53" s="1">
        <v>30</v>
      </c>
      <c r="AG53" s="1">
        <v>3.7078651685393265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7.0777479892761388</v>
      </c>
    </row>
    <row r="55" spans="20:56" x14ac:dyDescent="0.25">
      <c r="T55" s="1">
        <v>10</v>
      </c>
      <c r="U55" s="1">
        <v>0.20164536352806864</v>
      </c>
      <c r="AF55" s="1">
        <v>180</v>
      </c>
      <c r="AG55" s="1">
        <v>20.412371134020617</v>
      </c>
    </row>
    <row r="56" spans="20:56" x14ac:dyDescent="0.25">
      <c r="T56" s="1">
        <v>30</v>
      </c>
      <c r="U56" s="1">
        <v>0.18262212621463869</v>
      </c>
      <c r="AF56" s="1">
        <v>1440</v>
      </c>
      <c r="AG56" s="1">
        <v>149.78723404255322</v>
      </c>
    </row>
    <row r="57" spans="20:56" x14ac:dyDescent="0.25">
      <c r="T57" s="1">
        <v>60</v>
      </c>
      <c r="U57" s="1">
        <v>5.5517327849830142E-2</v>
      </c>
    </row>
    <row r="58" spans="20:56" x14ac:dyDescent="0.25">
      <c r="T58" s="1">
        <v>180</v>
      </c>
      <c r="U58" s="1">
        <v>-9.9384632135913031E-2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2026-06-15T16:56:10Z</dcterms:modified>
</cp:coreProperties>
</file>