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1C27E503-9F39-4BDA-9105-C55DF2D74335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I15" i="1" s="1"/>
  <c r="J15" i="1" s="1"/>
  <c r="L15" i="1" s="1"/>
  <c r="M15" i="1" s="1"/>
  <c r="N15" i="1" s="1"/>
  <c r="H16" i="1"/>
  <c r="I16" i="1" s="1"/>
  <c r="J16" i="1" s="1"/>
  <c r="L16" i="1" s="1"/>
  <c r="M16" i="1" s="1"/>
  <c r="N16" i="1" s="1"/>
  <c r="H17" i="1"/>
  <c r="I17" i="1" s="1"/>
  <c r="J17" i="1" s="1"/>
  <c r="L17" i="1" s="1"/>
  <c r="M17" i="1" s="1"/>
  <c r="N17" i="1" s="1"/>
  <c r="H21" i="1"/>
  <c r="I21" i="1" s="1"/>
  <c r="J21" i="1" s="1"/>
  <c r="L21" i="1" s="1"/>
  <c r="M21" i="1" s="1"/>
  <c r="N21" i="1" s="1"/>
  <c r="H22" i="1"/>
  <c r="I22" i="1" s="1"/>
  <c r="J22" i="1" s="1"/>
  <c r="L22" i="1" s="1"/>
  <c r="M22" i="1" s="1"/>
  <c r="N22" i="1" s="1"/>
  <c r="H23" i="1"/>
  <c r="I23" i="1" s="1"/>
  <c r="J23" i="1" s="1"/>
  <c r="L23" i="1" s="1"/>
  <c r="M23" i="1" s="1"/>
  <c r="N23" i="1" s="1"/>
  <c r="H24" i="1"/>
  <c r="I24" i="1" s="1"/>
  <c r="J24" i="1" s="1"/>
  <c r="L24" i="1" s="1"/>
  <c r="M24" i="1" s="1"/>
  <c r="N24" i="1" s="1"/>
  <c r="H28" i="1"/>
  <c r="I28" i="1" s="1"/>
  <c r="J28" i="1" s="1"/>
  <c r="L28" i="1" s="1"/>
  <c r="M28" i="1" s="1"/>
  <c r="N28" i="1" s="1"/>
  <c r="H29" i="1"/>
  <c r="I29" i="1" s="1"/>
  <c r="J29" i="1" s="1"/>
  <c r="L29" i="1" s="1"/>
  <c r="M29" i="1" s="1"/>
  <c r="N29" i="1" s="1"/>
  <c r="H30" i="1"/>
  <c r="I30" i="1" s="1"/>
  <c r="J30" i="1" s="1"/>
  <c r="L30" i="1" s="1"/>
  <c r="M30" i="1" s="1"/>
  <c r="N30" i="1" s="1"/>
  <c r="H31" i="1"/>
  <c r="I31" i="1" s="1"/>
  <c r="J31" i="1" s="1"/>
  <c r="L31" i="1" s="1"/>
  <c r="M31" i="1" s="1"/>
  <c r="N31" i="1" s="1"/>
  <c r="H14" i="1"/>
  <c r="K15" i="1"/>
  <c r="K16" i="1"/>
  <c r="K17" i="1"/>
  <c r="K21" i="1"/>
  <c r="K22" i="1"/>
  <c r="K23" i="1"/>
  <c r="K24" i="1"/>
  <c r="K28" i="1"/>
  <c r="K29" i="1"/>
  <c r="K30" i="1"/>
  <c r="K31" i="1"/>
  <c r="K14" i="1"/>
  <c r="B31" i="1"/>
  <c r="B30" i="1"/>
  <c r="B29" i="1"/>
  <c r="B28" i="1"/>
  <c r="B24" i="1"/>
  <c r="B23" i="1"/>
  <c r="B22" i="1"/>
  <c r="B21" i="1"/>
  <c r="B17" i="1"/>
  <c r="B16" i="1"/>
  <c r="B15" i="1"/>
  <c r="B14" i="1"/>
  <c r="I14" i="1"/>
  <c r="J14" i="1" s="1"/>
  <c r="L14" i="1" s="1"/>
  <c r="M14" i="1" s="1"/>
  <c r="N14" i="1" s="1"/>
  <c r="E15" i="1"/>
  <c r="F15" i="1" s="1"/>
  <c r="G15" i="1" s="1"/>
  <c r="E16" i="1"/>
  <c r="F16" i="1" s="1"/>
  <c r="G16" i="1" s="1"/>
  <c r="E17" i="1"/>
  <c r="F17" i="1" s="1"/>
  <c r="G17" i="1" s="1"/>
  <c r="E21" i="1"/>
  <c r="F21" i="1" s="1"/>
  <c r="G21" i="1" s="1"/>
  <c r="E22" i="1"/>
  <c r="F22" i="1" s="1"/>
  <c r="G22" i="1" s="1"/>
  <c r="E23" i="1"/>
  <c r="F23" i="1" s="1"/>
  <c r="G23" i="1" s="1"/>
  <c r="E24" i="1"/>
  <c r="F24" i="1" s="1"/>
  <c r="G24" i="1" s="1"/>
  <c r="E28" i="1"/>
  <c r="F28" i="1" s="1"/>
  <c r="G28" i="1" s="1"/>
  <c r="E29" i="1"/>
  <c r="F29" i="1" s="1"/>
  <c r="G29" i="1" s="1"/>
  <c r="E30" i="1"/>
  <c r="E31" i="1"/>
  <c r="E14" i="1"/>
  <c r="F14" i="1" s="1"/>
  <c r="G14" i="1" s="1"/>
  <c r="F31" i="1"/>
  <c r="G31" i="1" s="1"/>
  <c r="F30" i="1"/>
  <c r="G30" i="1" s="1"/>
</calcChain>
</file>

<file path=xl/sharedStrings.xml><?xml version="1.0" encoding="utf-8"?>
<sst xmlns="http://schemas.openxmlformats.org/spreadsheetml/2006/main" count="55" uniqueCount="20">
  <si>
    <t>Ad.ds</t>
  </si>
  <si>
    <t>Absorbance</t>
  </si>
  <si>
    <t>initial concentration</t>
  </si>
  <si>
    <t>final concentration</t>
  </si>
  <si>
    <t>adsorbed</t>
  </si>
  <si>
    <t>% adsorption</t>
  </si>
  <si>
    <t>conc. Mg/L</t>
  </si>
  <si>
    <t>temp</t>
  </si>
  <si>
    <t>GO-MCC50</t>
  </si>
  <si>
    <t>GO-MCC90</t>
  </si>
  <si>
    <t>qe</t>
  </si>
  <si>
    <t>Kd=qe/Cf</t>
  </si>
  <si>
    <t>lnKD</t>
  </si>
  <si>
    <t>1/T</t>
  </si>
  <si>
    <t>G=RTlnKD</t>
  </si>
  <si>
    <t>G=-</t>
  </si>
  <si>
    <t>G/1000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</si>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</sst>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0.08</c:v>
                </c:pt>
                <c:pt idx="1">
                  <c:v>0.161</c:v>
                </c:pt>
                <c:pt idx="2">
                  <c:v>0.38</c:v>
                </c:pt>
                <c:pt idx="3">
                  <c:v>0.8</c:v>
                </c:pt>
                <c:pt idx="4">
                  <c:v>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Sheet1!$Q$13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Sheet1!$P$14:$P$17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Sheet1!$Q$14:$Q$17</c:f>
              <c:numCache>
                <c:formatCode>General</c:formatCode>
                <c:ptCount val="4"/>
                <c:pt idx="0">
                  <c:v>1.8377409858068623</c:v>
                </c:pt>
                <c:pt idx="1">
                  <c:v>1.7960738056581758</c:v>
                </c:pt>
                <c:pt idx="2">
                  <c:v>1.7824570765657415</c:v>
                </c:pt>
                <c:pt idx="3">
                  <c:v>1.7615732838160436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6-4452-B7EA-A05DB8B6F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033023"/>
        <c:axId val="584033503"/>
      </c:scatterChart>
      <c:valAx>
        <c:axId val="58403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1/T</a:t>
                </a:r>
              </a:p>
            </c:rich>
          </c:tx>
          <c:layout>
            <c:manualLayout>
              <c:xMode val="edge"/>
              <c:yMode val="edge"/>
              <c:x val="0.54579155200610252"/>
              <c:y val="0.83175541400738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503"/>
        <c:crosses val="autoZero"/>
        <c:crossBetween val="midCat"/>
      </c:valAx>
      <c:valAx>
        <c:axId val="584033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3503037563328"/>
          <c:y val="9.9994462158331382E-2"/>
          <c:w val="0.76519023185849999"/>
          <c:h val="0.71090720323529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Sheet1!$Q$20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092517544287953E-2"/>
                  <c:y val="-5.43097629155189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Sheet1!$P$21:$P$24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Sheet1!$Q$21:$Q$24</c:f>
              <c:numCache>
                <c:formatCode>General</c:formatCode>
                <c:ptCount val="4"/>
                <c:pt idx="0">
                  <c:v>1.9878593550137069</c:v>
                </c:pt>
                <c:pt idx="1">
                  <c:v>1.9758844530211606</c:v>
                </c:pt>
                <c:pt idx="2">
                  <c:v>1.8687940844539592</c:v>
                </c:pt>
                <c:pt idx="3">
                  <c:v>1.8681300316636116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7-4FDA-B58E-28E9EEBD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31071"/>
        <c:axId val="707640191"/>
      </c:scatterChart>
      <c:valAx>
        <c:axId val="70763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40191"/>
        <c:crosses val="autoZero"/>
        <c:crossBetween val="midCat"/>
      </c:valAx>
      <c:valAx>
        <c:axId val="707640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59492563429571"/>
          <c:y val="5.0925925925925923E-2"/>
          <c:w val="0.82382174103237094"/>
          <c:h val="0.7749003835268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Sheet1!$I$34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Sheet1!$I$35:$I$38</c:f>
              <c:numCache>
                <c:formatCode>General</c:formatCode>
                <c:ptCount val="4"/>
                <c:pt idx="0">
                  <c:v>87.951648351648345</c:v>
                </c:pt>
                <c:pt idx="1">
                  <c:v>87.824175824175839</c:v>
                </c:pt>
                <c:pt idx="2">
                  <c:v>86.631868131868131</c:v>
                </c:pt>
                <c:pt idx="3">
                  <c:v>86.624175824175822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4-4562-802D-435F196DFAF2}"/>
            </c:ext>
          </c:extLst>
        </c:ser>
        <c:ser>
          <c:idx val="1"/>
          <c:order val="1"/>
          <c:tx>
            <c:strRef>
              <c:f>Sheet1!$J$34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86.268131868131874</c:v>
                </c:pt>
                <c:pt idx="1">
                  <c:v>85.767032967032975</c:v>
                </c:pt>
                <c:pt idx="2">
                  <c:v>85.6</c:v>
                </c:pt>
                <c:pt idx="3">
                  <c:v>85.340659340659343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4-4562-802D-435F196DFAF2}"/>
            </c:ext>
          </c:extLst>
        </c:ser>
        <c:ser>
          <c:idx val="2"/>
          <c:order val="2"/>
          <c:tx>
            <c:strRef>
              <c:f>Sheet1!$K$34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83.832967032967048</c:v>
                </c:pt>
                <c:pt idx="1">
                  <c:v>82.734065934065924</c:v>
                </c:pt>
                <c:pt idx="2">
                  <c:v>82.824175824175839</c:v>
                </c:pt>
                <c:pt idx="3">
                  <c:v>82.254945054945068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24-4562-802D-435F196DF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03551"/>
        <c:axId val="703604991"/>
      </c:scatterChart>
      <c:valAx>
        <c:axId val="70360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0.44433902012248472"/>
              <c:y val="0.90544787349047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4991"/>
        <c:crosses val="autoZero"/>
        <c:crossBetween val="midCat"/>
      </c:valAx>
      <c:valAx>
        <c:axId val="703604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24368688240502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3551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2575460591946419"/>
          <c:y val="6.7798958067372517E-2"/>
          <c:w val="0.32193995321785523"/>
          <c:h val="0.17997739865850099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Sheet1!$Q$27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Sheet1!$P$28:$P$31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Sheet1!$Q$28:$Q$31</c:f>
              <c:numCache>
                <c:formatCode>General</c:formatCode>
                <c:ptCount val="4"/>
                <c:pt idx="0">
                  <c:v>1.64585216470081</c:v>
                </c:pt>
                <c:pt idx="1">
                  <c:v>1.5668960079443766</c:v>
                </c:pt>
                <c:pt idx="2">
                  <c:v>1.5732171734219935</c:v>
                </c:pt>
                <c:pt idx="3">
                  <c:v>1.5337166276248477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9-4DB7-B5E7-4D9FCC7B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91679"/>
        <c:axId val="1452802719"/>
      </c:scatterChart>
      <c:valAx>
        <c:axId val="145279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02719"/>
        <c:crosses val="autoZero"/>
        <c:crossBetween val="midCat"/>
      </c:valAx>
      <c:valAx>
        <c:axId val="1452802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388620</xdr:colOff>
      <xdr:row>5</xdr:row>
      <xdr:rowOff>66261</xdr:rowOff>
    </xdr:from>
    <xdr:to>
      <xdr:col>24</xdr:col>
      <xdr:colOff>480391</xdr:colOff>
      <xdr:row>17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19DBBF-8635-C985-C2D4-9366909A2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283028</xdr:colOff>
      <xdr:row>17</xdr:row>
      <xdr:rowOff>43543</xdr:rowOff>
    </xdr:from>
    <xdr:to>
      <xdr:col>24</xdr:col>
      <xdr:colOff>435429</xdr:colOff>
      <xdr:row>28</xdr:row>
      <xdr:rowOff>43543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0787C9-FDD7-9770-8631-A8890424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256761</xdr:colOff>
      <xdr:row>39</xdr:row>
      <xdr:rowOff>44725</xdr:rowOff>
    </xdr:from>
    <xdr:to>
      <xdr:col>17</xdr:col>
      <xdr:colOff>91108</xdr:colOff>
      <xdr:row>56</xdr:row>
      <xdr:rowOff>91108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3713C3-A3A1-F92C-6F23-51A772896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16565</xdr:colOff>
      <xdr:row>28</xdr:row>
      <xdr:rowOff>94422</xdr:rowOff>
    </xdr:from>
    <xdr:to>
      <xdr:col>25</xdr:col>
      <xdr:colOff>298174</xdr:colOff>
      <xdr:row>43</xdr:row>
      <xdr:rowOff>104361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460E9-3D3F-CA51-39AB-49C562AC2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Q38"/>
  <sheetViews>
    <sheetView tabSelected="1" topLeftCell="A22" zoomScale="68" zoomScaleNormal="68" workbookViewId="0">
      <selection activeCell="K34" sqref="K34"/>
    </sheetView>
  </sheetViews>
  <sheetFormatPr defaultRowHeight="14.4" x14ac:dyDescent="0.3"/>
  <sheetData>
    <row r="3" spans="1:17" x14ac:dyDescent="0.3">
      <c r="B3" t="s">
        <v>6</v>
      </c>
      <c r="C3" t="s">
        <v>1</v>
      </c>
    </row>
    <row r="4" spans="1:17" x14ac:dyDescent="0.3">
      <c r="B4">
        <v>1</v>
      </c>
      <c r="C4">
        <v>0.08</v>
      </c>
    </row>
    <row r="5" spans="1:17" x14ac:dyDescent="0.3">
      <c r="B5">
        <v>2</v>
      </c>
      <c r="C5">
        <v>0.161</v>
      </c>
    </row>
    <row r="6" spans="1:17" x14ac:dyDescent="0.3">
      <c r="B6">
        <v>5</v>
      </c>
      <c r="C6">
        <v>0.38</v>
      </c>
    </row>
    <row r="7" spans="1:17" x14ac:dyDescent="0.3">
      <c r="B7">
        <v>10</v>
      </c>
      <c r="C7">
        <v>0.8</v>
      </c>
    </row>
    <row r="8" spans="1:17" x14ac:dyDescent="0.3">
      <c r="B8">
        <v>20</v>
      </c>
      <c r="C8">
        <v>1.81</v>
      </c>
    </row>
    <row r="11" spans="1:17" x14ac:dyDescent="0.3">
      <c r="A11" t="s">
        <v>17</v>
      </c>
    </row>
    <row r="12" spans="1:17" x14ac:dyDescent="0.3">
      <c r="P12" t="s">
        <v>17</v>
      </c>
    </row>
    <row r="13" spans="1:17" x14ac:dyDescent="0.3">
      <c r="B13" t="s">
        <v>7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P13" t="s">
        <v>13</v>
      </c>
      <c r="Q13" t="s">
        <v>12</v>
      </c>
    </row>
    <row r="14" spans="1:17" x14ac:dyDescent="0.3">
      <c r="B14">
        <f>25+273</f>
        <v>298</v>
      </c>
      <c r="C14">
        <v>1.7180000000000001E-2</v>
      </c>
      <c r="D14">
        <v>5</v>
      </c>
      <c r="E14">
        <f>(C14+0.0453)/0.091</f>
        <v>0.68659340659340662</v>
      </c>
      <c r="F14">
        <f>D14-E14</f>
        <v>4.3134065934065937</v>
      </c>
      <c r="G14">
        <f>(F14*100)/D14</f>
        <v>86.268131868131874</v>
      </c>
      <c r="H14">
        <f>((D14-E14)*0.01)/0.01</f>
        <v>4.3134065934065937</v>
      </c>
      <c r="I14">
        <f>H14/E14</f>
        <v>6.2823303457106272</v>
      </c>
      <c r="J14">
        <f>LN(I14)</f>
        <v>1.8377409858068623</v>
      </c>
      <c r="K14">
        <f>1/B14</f>
        <v>3.3557046979865771E-3</v>
      </c>
      <c r="L14">
        <f>8.314*B14*J14</f>
        <v>4553.1356096874797</v>
      </c>
      <c r="M14">
        <f>(L14)*-1</f>
        <v>-4553.1356096874797</v>
      </c>
      <c r="N14">
        <f>M14/1000</f>
        <v>-4.5531356096874793</v>
      </c>
      <c r="P14">
        <v>3.3557046979865771E-3</v>
      </c>
      <c r="Q14">
        <v>1.8377409858068623</v>
      </c>
    </row>
    <row r="15" spans="1:17" x14ac:dyDescent="0.3">
      <c r="B15">
        <f>30+273</f>
        <v>303</v>
      </c>
      <c r="C15">
        <v>1.9460000000000002E-2</v>
      </c>
      <c r="D15">
        <v>5</v>
      </c>
      <c r="E15">
        <f t="shared" ref="E15:E31" si="0">(C15+0.0453)/0.091</f>
        <v>0.71164835164835161</v>
      </c>
      <c r="F15">
        <f t="shared" ref="F15:F31" si="1">D15-E15</f>
        <v>4.2883516483516484</v>
      </c>
      <c r="G15">
        <f t="shared" ref="G15:G31" si="2">(F15*100)/D15</f>
        <v>85.767032967032975</v>
      </c>
      <c r="H15">
        <f t="shared" ref="H15:H31" si="3">((D15-E15)*0.01)/0.01</f>
        <v>4.2883516483516484</v>
      </c>
      <c r="I15">
        <f t="shared" ref="I15:I31" si="4">H15/E15</f>
        <v>6.0259419394688081</v>
      </c>
      <c r="J15">
        <f t="shared" ref="J15:J31" si="5">LN(I15)</f>
        <v>1.7960738056581758</v>
      </c>
      <c r="K15">
        <f t="shared" ref="K15:K31" si="6">1/B15</f>
        <v>3.3003300330033004E-3</v>
      </c>
      <c r="L15">
        <f t="shared" ref="L15:L31" si="7">8.314*B15*J15</f>
        <v>4524.564958933348</v>
      </c>
      <c r="M15">
        <f t="shared" ref="M15:M31" si="8">(L15)*-1</f>
        <v>-4524.564958933348</v>
      </c>
      <c r="N15">
        <f t="shared" ref="N15:N31" si="9">M15/1000</f>
        <v>-4.5245649589333476</v>
      </c>
      <c r="P15">
        <v>3.3003300330033004E-3</v>
      </c>
      <c r="Q15">
        <v>1.7960738056581758</v>
      </c>
    </row>
    <row r="16" spans="1:17" x14ac:dyDescent="0.3">
      <c r="B16">
        <f>35+273</f>
        <v>308</v>
      </c>
      <c r="C16">
        <v>2.0219999999999998E-2</v>
      </c>
      <c r="D16">
        <v>5</v>
      </c>
      <c r="E16">
        <f t="shared" si="0"/>
        <v>0.72</v>
      </c>
      <c r="F16">
        <f t="shared" si="1"/>
        <v>4.28</v>
      </c>
      <c r="G16">
        <f t="shared" si="2"/>
        <v>85.6</v>
      </c>
      <c r="H16">
        <f t="shared" si="3"/>
        <v>4.28</v>
      </c>
      <c r="I16">
        <f t="shared" si="4"/>
        <v>5.9444444444444446</v>
      </c>
      <c r="J16">
        <f t="shared" si="5"/>
        <v>1.7824570765657415</v>
      </c>
      <c r="K16">
        <f t="shared" si="6"/>
        <v>3.246753246753247E-3</v>
      </c>
      <c r="L16">
        <f t="shared" si="7"/>
        <v>4564.3592254468131</v>
      </c>
      <c r="M16">
        <f t="shared" si="8"/>
        <v>-4564.3592254468131</v>
      </c>
      <c r="N16">
        <f t="shared" si="9"/>
        <v>-4.5643592254468128</v>
      </c>
      <c r="P16">
        <v>3.246753246753247E-3</v>
      </c>
      <c r="Q16">
        <v>1.7824570765657415</v>
      </c>
    </row>
    <row r="17" spans="1:17" x14ac:dyDescent="0.3">
      <c r="B17">
        <f>40+273</f>
        <v>313</v>
      </c>
      <c r="C17">
        <v>2.1399999999999999E-2</v>
      </c>
      <c r="D17">
        <v>5</v>
      </c>
      <c r="E17">
        <f t="shared" si="0"/>
        <v>0.73296703296703292</v>
      </c>
      <c r="F17">
        <f t="shared" si="1"/>
        <v>4.267032967032967</v>
      </c>
      <c r="G17">
        <f t="shared" si="2"/>
        <v>85.340659340659343</v>
      </c>
      <c r="H17">
        <f t="shared" si="3"/>
        <v>4.267032967032967</v>
      </c>
      <c r="I17">
        <f t="shared" si="4"/>
        <v>5.8215892053973013</v>
      </c>
      <c r="J17">
        <f t="shared" si="5"/>
        <v>1.7615732838160436</v>
      </c>
      <c r="K17">
        <f t="shared" si="6"/>
        <v>3.1948881789137379E-3</v>
      </c>
      <c r="L17">
        <f t="shared" si="7"/>
        <v>4584.1104481553821</v>
      </c>
      <c r="M17">
        <f t="shared" si="8"/>
        <v>-4584.1104481553821</v>
      </c>
      <c r="N17">
        <f t="shared" si="9"/>
        <v>-4.584110448155382</v>
      </c>
      <c r="P17">
        <v>3.1948881789137379E-3</v>
      </c>
      <c r="Q17">
        <v>1.7615732838160436</v>
      </c>
    </row>
    <row r="18" spans="1:17" x14ac:dyDescent="0.3">
      <c r="A18" t="s">
        <v>8</v>
      </c>
    </row>
    <row r="19" spans="1:17" x14ac:dyDescent="0.3">
      <c r="P19" t="s">
        <v>8</v>
      </c>
    </row>
    <row r="20" spans="1:17" x14ac:dyDescent="0.3">
      <c r="B20" t="s">
        <v>7</v>
      </c>
      <c r="C20" t="s">
        <v>1</v>
      </c>
      <c r="D20" t="s">
        <v>2</v>
      </c>
      <c r="F20" t="s">
        <v>4</v>
      </c>
      <c r="G20" t="s">
        <v>5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P20" t="s">
        <v>13</v>
      </c>
      <c r="Q20" t="s">
        <v>12</v>
      </c>
    </row>
    <row r="21" spans="1:17" x14ac:dyDescent="0.3">
      <c r="B21">
        <f>25+273</f>
        <v>298</v>
      </c>
      <c r="C21">
        <v>9.5200000000000007E-3</v>
      </c>
      <c r="D21">
        <v>5</v>
      </c>
      <c r="E21">
        <f t="shared" si="0"/>
        <v>0.60241758241758248</v>
      </c>
      <c r="F21">
        <f t="shared" si="1"/>
        <v>4.3975824175824174</v>
      </c>
      <c r="G21">
        <f t="shared" si="2"/>
        <v>87.951648351648345</v>
      </c>
      <c r="H21">
        <f t="shared" si="3"/>
        <v>4.3975824175824174</v>
      </c>
      <c r="I21">
        <f t="shared" si="4"/>
        <v>7.2998905508938332</v>
      </c>
      <c r="J21">
        <f t="shared" si="5"/>
        <v>1.9878593550137069</v>
      </c>
      <c r="K21">
        <f t="shared" si="6"/>
        <v>3.3557046979865771E-3</v>
      </c>
      <c r="L21">
        <f t="shared" si="7"/>
        <v>4925.0646779200197</v>
      </c>
      <c r="M21">
        <f t="shared" si="8"/>
        <v>-4925.0646779200197</v>
      </c>
      <c r="N21">
        <f t="shared" si="9"/>
        <v>-4.9250646779200196</v>
      </c>
      <c r="P21">
        <v>3.3557046979865771E-3</v>
      </c>
      <c r="Q21">
        <v>1.9878593550137069</v>
      </c>
    </row>
    <row r="22" spans="1:17" x14ac:dyDescent="0.3">
      <c r="B22">
        <f>30+273</f>
        <v>303</v>
      </c>
      <c r="C22">
        <v>1.01E-2</v>
      </c>
      <c r="D22">
        <v>5</v>
      </c>
      <c r="E22">
        <f t="shared" si="0"/>
        <v>0.60879120879120874</v>
      </c>
      <c r="F22">
        <f t="shared" si="1"/>
        <v>4.3912087912087916</v>
      </c>
      <c r="G22">
        <f t="shared" si="2"/>
        <v>87.824175824175839</v>
      </c>
      <c r="H22">
        <f t="shared" si="3"/>
        <v>4.3912087912087916</v>
      </c>
      <c r="I22">
        <f t="shared" si="4"/>
        <v>7.212996389891698</v>
      </c>
      <c r="J22">
        <f t="shared" si="5"/>
        <v>1.9758844530211606</v>
      </c>
      <c r="K22">
        <f t="shared" si="6"/>
        <v>3.3003300330033004E-3</v>
      </c>
      <c r="L22">
        <f t="shared" si="7"/>
        <v>4977.5335127526323</v>
      </c>
      <c r="M22">
        <f t="shared" si="8"/>
        <v>-4977.5335127526323</v>
      </c>
      <c r="N22">
        <f t="shared" si="9"/>
        <v>-4.9775335127526326</v>
      </c>
      <c r="P22">
        <v>3.3003300330033004E-3</v>
      </c>
      <c r="Q22">
        <v>1.9758844530211606</v>
      </c>
    </row>
    <row r="23" spans="1:17" x14ac:dyDescent="0.3">
      <c r="B23">
        <f>35+273</f>
        <v>308</v>
      </c>
      <c r="C23">
        <v>1.5525000000000001E-2</v>
      </c>
      <c r="D23">
        <v>5</v>
      </c>
      <c r="E23">
        <f t="shared" si="0"/>
        <v>0.66840659340659347</v>
      </c>
      <c r="F23">
        <f t="shared" si="1"/>
        <v>4.3315934065934067</v>
      </c>
      <c r="G23">
        <f t="shared" si="2"/>
        <v>86.631868131868131</v>
      </c>
      <c r="H23">
        <f t="shared" si="3"/>
        <v>4.3315934065934067</v>
      </c>
      <c r="I23">
        <f t="shared" si="4"/>
        <v>6.4804767776407726</v>
      </c>
      <c r="J23">
        <f t="shared" si="5"/>
        <v>1.8687940844539592</v>
      </c>
      <c r="K23">
        <f t="shared" si="6"/>
        <v>3.246753246753247E-3</v>
      </c>
      <c r="L23">
        <f t="shared" si="7"/>
        <v>4785.4434375902665</v>
      </c>
      <c r="M23">
        <f t="shared" si="8"/>
        <v>-4785.4434375902665</v>
      </c>
      <c r="N23">
        <f t="shared" si="9"/>
        <v>-4.7854434375902661</v>
      </c>
      <c r="P23">
        <v>3.246753246753247E-3</v>
      </c>
      <c r="Q23">
        <v>1.8687940844539592</v>
      </c>
    </row>
    <row r="24" spans="1:17" x14ac:dyDescent="0.3">
      <c r="B24">
        <f>40+273</f>
        <v>313</v>
      </c>
      <c r="C24">
        <v>1.5559999999999999E-2</v>
      </c>
      <c r="D24">
        <v>5</v>
      </c>
      <c r="E24">
        <f t="shared" si="0"/>
        <v>0.66879120879120879</v>
      </c>
      <c r="F24">
        <f t="shared" si="1"/>
        <v>4.3312087912087911</v>
      </c>
      <c r="G24">
        <f t="shared" si="2"/>
        <v>86.624175824175822</v>
      </c>
      <c r="H24">
        <f t="shared" si="3"/>
        <v>4.3312087912087911</v>
      </c>
      <c r="I24">
        <f t="shared" si="4"/>
        <v>6.4761748274728888</v>
      </c>
      <c r="J24">
        <f t="shared" si="5"/>
        <v>1.8681300316636116</v>
      </c>
      <c r="K24">
        <f t="shared" si="6"/>
        <v>3.1948881789137379E-3</v>
      </c>
      <c r="L24">
        <f t="shared" si="7"/>
        <v>4861.401155057647</v>
      </c>
      <c r="M24">
        <f t="shared" si="8"/>
        <v>-4861.401155057647</v>
      </c>
      <c r="N24">
        <f t="shared" si="9"/>
        <v>-4.8614011550576466</v>
      </c>
      <c r="P24">
        <v>3.1948881789137379E-3</v>
      </c>
      <c r="Q24">
        <v>1.8681300316636116</v>
      </c>
    </row>
    <row r="25" spans="1:17" x14ac:dyDescent="0.3">
      <c r="A25" t="s">
        <v>9</v>
      </c>
    </row>
    <row r="26" spans="1:17" x14ac:dyDescent="0.3">
      <c r="P26" t="s">
        <v>9</v>
      </c>
    </row>
    <row r="27" spans="1:17" x14ac:dyDescent="0.3">
      <c r="B27" t="s">
        <v>7</v>
      </c>
      <c r="C27" t="s">
        <v>1</v>
      </c>
      <c r="D27" t="s">
        <v>2</v>
      </c>
      <c r="F27" t="s">
        <v>4</v>
      </c>
      <c r="G27" t="s">
        <v>5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P27" t="s">
        <v>13</v>
      </c>
      <c r="Q27" t="s">
        <v>12</v>
      </c>
    </row>
    <row r="28" spans="1:17" x14ac:dyDescent="0.3">
      <c r="B28">
        <f>25+273</f>
        <v>298</v>
      </c>
      <c r="C28">
        <v>2.826E-2</v>
      </c>
      <c r="D28">
        <v>5</v>
      </c>
      <c r="E28">
        <f t="shared" si="0"/>
        <v>0.80835164835164841</v>
      </c>
      <c r="F28">
        <f t="shared" si="1"/>
        <v>4.191648351648352</v>
      </c>
      <c r="G28">
        <f t="shared" si="2"/>
        <v>83.832967032967048</v>
      </c>
      <c r="H28">
        <f t="shared" si="3"/>
        <v>4.191648351648352</v>
      </c>
      <c r="I28">
        <f t="shared" si="4"/>
        <v>5.1854268624252313</v>
      </c>
      <c r="J28">
        <f t="shared" si="5"/>
        <v>1.64585216470081</v>
      </c>
      <c r="K28">
        <f t="shared" si="6"/>
        <v>3.3557046979865771E-3</v>
      </c>
      <c r="L28">
        <f t="shared" si="7"/>
        <v>4077.7172394021154</v>
      </c>
      <c r="M28">
        <f t="shared" si="8"/>
        <v>-4077.7172394021154</v>
      </c>
      <c r="N28">
        <f t="shared" si="9"/>
        <v>-4.0777172394021157</v>
      </c>
      <c r="P28">
        <v>3.3557046979865771E-3</v>
      </c>
      <c r="Q28">
        <v>1.64585216470081</v>
      </c>
    </row>
    <row r="29" spans="1:17" x14ac:dyDescent="0.3">
      <c r="B29">
        <f>30+273</f>
        <v>303</v>
      </c>
      <c r="C29">
        <v>3.3259999999999998E-2</v>
      </c>
      <c r="D29">
        <v>5</v>
      </c>
      <c r="E29">
        <f t="shared" si="0"/>
        <v>0.86329670329670327</v>
      </c>
      <c r="F29">
        <f t="shared" si="1"/>
        <v>4.1367032967032964</v>
      </c>
      <c r="G29">
        <f t="shared" si="2"/>
        <v>82.734065934065924</v>
      </c>
      <c r="H29">
        <f t="shared" si="3"/>
        <v>4.1367032967032964</v>
      </c>
      <c r="I29">
        <f t="shared" si="4"/>
        <v>4.7917515274949078</v>
      </c>
      <c r="J29">
        <f t="shared" si="5"/>
        <v>1.5668960079443766</v>
      </c>
      <c r="K29">
        <f t="shared" si="6"/>
        <v>3.3003300330033004E-3</v>
      </c>
      <c r="L29">
        <f t="shared" si="7"/>
        <v>3947.2335432450122</v>
      </c>
      <c r="M29">
        <f t="shared" si="8"/>
        <v>-3947.2335432450122</v>
      </c>
      <c r="N29">
        <f t="shared" si="9"/>
        <v>-3.9472335432450123</v>
      </c>
      <c r="P29">
        <v>3.3003300330033004E-3</v>
      </c>
      <c r="Q29">
        <v>1.5668960079443766</v>
      </c>
    </row>
    <row r="30" spans="1:17" x14ac:dyDescent="0.3">
      <c r="B30">
        <f>35+273</f>
        <v>308</v>
      </c>
      <c r="C30">
        <v>3.2849999999999997E-2</v>
      </c>
      <c r="D30">
        <v>5</v>
      </c>
      <c r="E30">
        <f t="shared" si="0"/>
        <v>0.85879120879120874</v>
      </c>
      <c r="F30">
        <f t="shared" si="1"/>
        <v>4.1412087912087916</v>
      </c>
      <c r="G30">
        <f t="shared" si="2"/>
        <v>82.824175824175839</v>
      </c>
      <c r="H30">
        <f t="shared" si="3"/>
        <v>4.1412087912087916</v>
      </c>
      <c r="I30">
        <f t="shared" si="4"/>
        <v>4.8221369161868211</v>
      </c>
      <c r="J30">
        <f t="shared" si="5"/>
        <v>1.5732171734219935</v>
      </c>
      <c r="K30">
        <f t="shared" si="6"/>
        <v>3.246753246753247E-3</v>
      </c>
      <c r="L30">
        <f t="shared" si="7"/>
        <v>4028.5560945877801</v>
      </c>
      <c r="M30">
        <f t="shared" si="8"/>
        <v>-4028.5560945877801</v>
      </c>
      <c r="N30">
        <f t="shared" si="9"/>
        <v>-4.0285560945877803</v>
      </c>
      <c r="P30">
        <v>3.246753246753247E-3</v>
      </c>
      <c r="Q30">
        <v>1.5732171734219935</v>
      </c>
    </row>
    <row r="31" spans="1:17" x14ac:dyDescent="0.3">
      <c r="B31">
        <f>40+273</f>
        <v>313</v>
      </c>
      <c r="C31">
        <v>3.5439999999999999E-2</v>
      </c>
      <c r="D31">
        <v>5</v>
      </c>
      <c r="E31">
        <f t="shared" si="0"/>
        <v>0.88725274725274739</v>
      </c>
      <c r="F31">
        <f t="shared" si="1"/>
        <v>4.1127472527472531</v>
      </c>
      <c r="G31">
        <f t="shared" si="2"/>
        <v>82.254945054945068</v>
      </c>
      <c r="H31">
        <f t="shared" si="3"/>
        <v>4.1127472527472531</v>
      </c>
      <c r="I31">
        <f t="shared" si="4"/>
        <v>4.6353728015853353</v>
      </c>
      <c r="J31">
        <f t="shared" si="5"/>
        <v>1.5337166276248477</v>
      </c>
      <c r="K31">
        <f t="shared" si="6"/>
        <v>3.1948881789137379E-3</v>
      </c>
      <c r="L31">
        <f t="shared" si="7"/>
        <v>3991.1631731688444</v>
      </c>
      <c r="M31">
        <f t="shared" si="8"/>
        <v>-3991.1631731688444</v>
      </c>
      <c r="N31">
        <f t="shared" si="9"/>
        <v>-3.9911631731688444</v>
      </c>
      <c r="P31">
        <v>3.1948881789137379E-3</v>
      </c>
      <c r="Q31">
        <v>1.5337166276248477</v>
      </c>
    </row>
    <row r="34" spans="8:11" x14ac:dyDescent="0.3">
      <c r="H34" t="s">
        <v>0</v>
      </c>
      <c r="I34" t="s">
        <v>17</v>
      </c>
      <c r="J34" t="s">
        <v>18</v>
      </c>
      <c r="K34" t="s">
        <v>19</v>
      </c>
    </row>
    <row r="35" spans="8:11" x14ac:dyDescent="0.3">
      <c r="H35">
        <v>298</v>
      </c>
      <c r="I35">
        <v>87.951648351648345</v>
      </c>
      <c r="J35">
        <v>86.268131868131874</v>
      </c>
      <c r="K35">
        <v>83.832967032967048</v>
      </c>
    </row>
    <row r="36" spans="8:11" x14ac:dyDescent="0.3">
      <c r="H36">
        <v>303</v>
      </c>
      <c r="I36">
        <v>87.824175824175839</v>
      </c>
      <c r="J36">
        <v>85.767032967032975</v>
      </c>
      <c r="K36">
        <v>82.734065934065924</v>
      </c>
    </row>
    <row r="37" spans="8:11" x14ac:dyDescent="0.3">
      <c r="H37">
        <v>308</v>
      </c>
      <c r="I37">
        <v>86.631868131868131</v>
      </c>
      <c r="J37">
        <v>85.6</v>
      </c>
      <c r="K37">
        <v>82.824175824175839</v>
      </c>
    </row>
    <row r="38" spans="8:11" x14ac:dyDescent="0.3">
      <c r="H38">
        <v>313</v>
      </c>
      <c r="I38">
        <v>86.624175824175822</v>
      </c>
      <c r="J38">
        <v>85.340659340659343</v>
      </c>
      <c r="K38">
        <v>82.254945054945068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2026-04-24T17:09:53Z</dcterms:modified>
</cp:coreProperties>
</file>